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bruno.haeming\Desktop\Demandas\OBS - SEAFLOR MURARA\data\processed\"/>
    </mc:Choice>
  </mc:AlternateContent>
  <xr:revisionPtr revIDLastSave="0" documentId="13_ncr:1_{4F90D735-6924-4397-8C7A-A06EFA84504B}" xr6:coauthVersionLast="47" xr6:coauthVersionMax="47" xr10:uidLastSave="{00000000-0000-0000-0000-000000000000}"/>
  <bookViews>
    <workbookView xWindow="-120" yWindow="-120" windowWidth="29040" windowHeight="15720" activeTab="4" xr2:uid="{00000000-000D-0000-FFFF-FFFF00000000}"/>
  </bookViews>
  <sheets>
    <sheet name="0_Indice" sheetId="1" r:id="rId1"/>
    <sheet name="1_Resumo_Geral" sheetId="2" r:id="rId2"/>
    <sheet name="2_Mensal_Total" sheetId="3" r:id="rId3"/>
    <sheet name="3_Mensal_Setor" sheetId="4" r:id="rId4"/>
    <sheet name="4_Top_Produtos" sheetId="5" r:id="rId5"/>
    <sheet name="5_Top_Destinos" sheetId="6" r:id="rId6"/>
    <sheet name="6_Concentracao_EUA" sheetId="7" r:id="rId7"/>
    <sheet name="7_Participacao_SC_BR" sheetId="8" r:id="rId8"/>
    <sheet name="8_Ranking_Estados" sheetId="9" r:id="rId9"/>
    <sheet name="9_Destinos_Setor" sheetId="10" r:id="rId10"/>
  </sheets>
  <calcPr calcId="191029"/>
  <pivotCaches>
    <pivotCache cacheId="4" r:id="rId11"/>
    <pivotCache cacheId="8" r:id="rId12"/>
    <pivotCache cacheId="18" r:id="rId13"/>
    <pivotCache cacheId="2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<sst xmlns="http://schemas.openxmlformats.org/spreadsheetml/2006/main" count="566" uniqueCount="177">
  <si>
    <t>SEAFLOR 2026 — Comercio Exterior SC: Comparativo Jan-Mai 2025 vs Jan-Mai 2026</t>
  </si>
  <si>
    <t>Fonte: ComexStat/MDIC | Observatorio FIESC | Junho 2026</t>
  </si>
  <si>
    <t>Complexo Florestal: Madeira (CNAE 16), Moveis (CNAE 31), Papel e Celulose (CNAE 17), Base Florestal (CNAE 2)</t>
  </si>
  <si>
    <t>Aba</t>
  </si>
  <si>
    <t>Conteudo</t>
  </si>
  <si>
    <t>1_Resumo_Geral</t>
  </si>
  <si>
    <t>1. Resumo por Setor — EXP, IMP, Saldo, Kg, Nr Destinos | Jan-Mai 2025 vs 2026</t>
  </si>
  <si>
    <t>2_Mensal_Total</t>
  </si>
  <si>
    <t>2. Comparativo Mensal Jan-Mai — Complexo Florestal SC 2025 vs 2026</t>
  </si>
  <si>
    <t>3_Mensal_Setor</t>
  </si>
  <si>
    <t>3. Mensal por Setor e CNAE — EXP SC Jan-Mai 2025 vs 2026</t>
  </si>
  <si>
    <t>4_Top_Produtos</t>
  </si>
  <si>
    <t>4. Top 30 Produtos Exportados — Jan-Mai 2026 vs 2025 (valor, volume, preco medio)</t>
  </si>
  <si>
    <t>5_Top_Destinos</t>
  </si>
  <si>
    <t>5. Top 25 Destinos das Exportacoes Florestais SC — Jan-Mai 2026 vs 2025</t>
  </si>
  <si>
    <t>6_Concentracao_EUA</t>
  </si>
  <si>
    <t>6. EUA — Exposicao Tarifaria: Share nas Exportacoes Florestais SC Mes a Mes 2025 vs 2026</t>
  </si>
  <si>
    <t>7_Participacao_SC_BR</t>
  </si>
  <si>
    <t>7. Participacao SC no Total Brasil por Setor — Jan-Mai 2025 vs 2026</t>
  </si>
  <si>
    <t>8_Ranking_Estados</t>
  </si>
  <si>
    <t>8. Ranking SC entre os Estados Exportadores por Setor — Jan-Mai 2025 vs 2026</t>
  </si>
  <si>
    <t>9_Destinos_Setor</t>
  </si>
  <si>
    <t>9. Top 10 Destinos por Setor — Jan-Mai 2025 vs 2026</t>
  </si>
  <si>
    <t>Setor</t>
  </si>
  <si>
    <t>EXP_USD_2025</t>
  </si>
  <si>
    <t>IMP_USD_2025</t>
  </si>
  <si>
    <t>Saldo_USD_2025</t>
  </si>
  <si>
    <t>EXP_Kg_2025</t>
  </si>
  <si>
    <t>Nr_Destinos_2025</t>
  </si>
  <si>
    <t>Nr_NCMs_2025</t>
  </si>
  <si>
    <t>EXP_USD_2026</t>
  </si>
  <si>
    <t>IMP_USD_2026</t>
  </si>
  <si>
    <t>Saldo_USD_2026</t>
  </si>
  <si>
    <t>EXP_Kg_2026</t>
  </si>
  <si>
    <t>Nr_Destinos_2026</t>
  </si>
  <si>
    <t>Nr_NCMs_2026</t>
  </si>
  <si>
    <t>Var_EXP_USD_Pct</t>
  </si>
  <si>
    <t>Var_IMP_USD_Pct</t>
  </si>
  <si>
    <t>Var_Saldo_USD_Pct</t>
  </si>
  <si>
    <t>Var_EXP_Kg_Pct</t>
  </si>
  <si>
    <t>Var_Nr_Destinos_pp</t>
  </si>
  <si>
    <t>Var_Nr_NCMs_pp</t>
  </si>
  <si>
    <t>Madeira (CNAE 16)</t>
  </si>
  <si>
    <t>Moveis (CNAE 31)</t>
  </si>
  <si>
    <t>Madeira e Moveis (16+31)</t>
  </si>
  <si>
    <t>Papel e Celulose (CNAE 17)</t>
  </si>
  <si>
    <t>Base Florestal (CNAE 2)</t>
  </si>
  <si>
    <t>Complexo Florestal</t>
  </si>
  <si>
    <t>Mes_Nome</t>
  </si>
  <si>
    <t>Jan</t>
  </si>
  <si>
    <t>Fev</t>
  </si>
  <si>
    <t>Mar</t>
  </si>
  <si>
    <t>Abr</t>
  </si>
  <si>
    <t>Mai</t>
  </si>
  <si>
    <t>TOTAL Jan-Mai</t>
  </si>
  <si>
    <t>Mes</t>
  </si>
  <si>
    <t>Rank_2026</t>
  </si>
  <si>
    <t>Produto</t>
  </si>
  <si>
    <t>Preco_Med_2025</t>
  </si>
  <si>
    <t>Preco_Med_2026</t>
  </si>
  <si>
    <t>Var_Preco_Med_Pct</t>
  </si>
  <si>
    <t>Madeira serrada ou fendida longitudinalmente, cortada transversalmente ou desenrolada, mesmo aplainada, lixada ou unida pelas extremidades, de espessura superior a 6 mm, de pinheiro (Pinus spp.)</t>
  </si>
  <si>
    <t>Madeira e Móveis</t>
  </si>
  <si>
    <t>Outras madeiras compensadas, constituídas exclusivamente por folhas de madeira (exceto de bambu) cada uma das quais de espessura não superior a 6 mm</t>
  </si>
  <si>
    <t>Outras portas e respectivos caixilhos, alizares e soleiras, de madeira, não classificadas em códigos anteriores</t>
  </si>
  <si>
    <t>Papel e cartão para cobertura, denominados Kraftliner, crus, em rolos ou em folhas</t>
  </si>
  <si>
    <t>Papel e Celulose</t>
  </si>
  <si>
    <t>Outros móveis de madeira</t>
  </si>
  <si>
    <t>Móveis de madeira, do tipo utilizado em quartos de dormir</t>
  </si>
  <si>
    <t>Pellets de madeira</t>
  </si>
  <si>
    <t>Madeira de coníferas perfilada (com espigas, ranhuras, filetes, entalhes, chanfrada, com juntas em V, com cercadura, boleada ou semelhantes) ao longo de uma ou mais bordas, faces ou extremidades, mesmo aplainada, lixada ou unida pelas extremidades</t>
  </si>
  <si>
    <t>Painéis de fibras madeira de média densidade (denominados MDF), de espessura superior a 9 mm, não trabalhados mecanicamente nem recobertos à superfície</t>
  </si>
  <si>
    <t>Sacos cuja base tenha largura igual ou superior a 40 cm, de papel ou cartão</t>
  </si>
  <si>
    <t>Papel Kraft para sacos de grande capacidade, cru, em rolos ou em folhas</t>
  </si>
  <si>
    <t>Madeira em bruto, mesmo descascada, desalburnada ou esquadriada, de eucalipto (Eucalyptus spp.)</t>
  </si>
  <si>
    <t>Produção Florestal</t>
  </si>
  <si>
    <t>Outros papéis e cartões Kraft de peso não superior a 150 g/m2, crus, de rigidez dielétrica igual ou superior a 600 V (método ASTM D 202 ou equivalente), em rolos ou em folhas</t>
  </si>
  <si>
    <t>Folhas para folheados (incluindo as obtidas por corte de madeira estratificada), folhas para compensados ou para madeiras estratificadas semelhantes e outras madeiras, etc..., de espessura &lt;= 6 mm, de outras madeiras</t>
  </si>
  <si>
    <t>Papel semiquímico para ondular, não revestidos, em rolos ou em folhas, não tendo sofrido trabalho complementar nem tratamentos</t>
  </si>
  <si>
    <t>Outras obras de marcenaria e peças de carpintaria para construções, incluindo os painéis celulares, os painéis montados para revestimento de pisos (pavimentos) e as fasquias para telhados (shingles e shakes)</t>
  </si>
  <si>
    <t>Painéis de partículas de madeira, mesmo aglomeradas com resinas ou com outros aglutinantes orgânicos, em bruto ou simplesmente polidos</t>
  </si>
  <si>
    <t>Papel higiênico</t>
  </si>
  <si>
    <t>Armações e cabos, de ferramentas, de escovas e de vassouras, de madeira</t>
  </si>
  <si>
    <t>Outras madeiras compensadas, constituídas exclusivamente por folhas de madeira (exceto de bambu) cada uma das quais de espessura não superior a 6 mm, com pelo menos uma face de madeiras tropicais mencionadas na Nota 2 de subposições do presente Capítulo</t>
  </si>
  <si>
    <t>Painéis de fibras madeira de média densidade (denominados MDF), de espessura superior a 5 mm mas não superior a 9 mm, não trabalhados mecanicamente nem recobertos à superfície</t>
  </si>
  <si>
    <t>Outros painéis de fibras madeira de média densidade (denominados MDF), de espessura superior a 9 mm</t>
  </si>
  <si>
    <t>Papel dos tipos utilizados para papel de toucador, toalhas, guardanapos ou para papéis semelhantes de uso doméstico, higiênico ou toucador</t>
  </si>
  <si>
    <t>Caixas de papel ou cartão, ondulados</t>
  </si>
  <si>
    <t>Painéis de fibras madeira de média densidade (denominados MDF), de espessura não superior a 5 mm, não trabalhados mecanicamente nem recobertos à superfície</t>
  </si>
  <si>
    <t>Outros sacos; bolsas e cartuchos, de papel ou cartão</t>
  </si>
  <si>
    <t>Móveis de madeira, do tipo utilizado em cozinhas</t>
  </si>
  <si>
    <t>Outras obras em madeira</t>
  </si>
  <si>
    <t>Outros painéis de partículas de madeira, recobertos na superfície com papel impregnado de melamina</t>
  </si>
  <si>
    <t>Outros sucos e extratos vegetais</t>
  </si>
  <si>
    <t>Pais</t>
  </si>
  <si>
    <t>Share_2025_Pct</t>
  </si>
  <si>
    <t>Share_2026_Pct</t>
  </si>
  <si>
    <t>Var_Share_pp</t>
  </si>
  <si>
    <t>Estados Unidos</t>
  </si>
  <si>
    <t>México</t>
  </si>
  <si>
    <t>Argentina</t>
  </si>
  <si>
    <t>Itália</t>
  </si>
  <si>
    <t>Reino Unido</t>
  </si>
  <si>
    <t>China</t>
  </si>
  <si>
    <t>Espanha</t>
  </si>
  <si>
    <t>Paraguai</t>
  </si>
  <si>
    <t>Arábia Saudita</t>
  </si>
  <si>
    <t>Uruguai</t>
  </si>
  <si>
    <t>Portugal</t>
  </si>
  <si>
    <t>África do Sul</t>
  </si>
  <si>
    <t>Chile</t>
  </si>
  <si>
    <t>Alemanha</t>
  </si>
  <si>
    <t>Vietnã</t>
  </si>
  <si>
    <t>Equador</t>
  </si>
  <si>
    <t>França</t>
  </si>
  <si>
    <t>Índia</t>
  </si>
  <si>
    <t>Emirados Árabes Unidos</t>
  </si>
  <si>
    <t>Bolívia</t>
  </si>
  <si>
    <t>Bélgica</t>
  </si>
  <si>
    <t>Indonésia</t>
  </si>
  <si>
    <t>Jamaica</t>
  </si>
  <si>
    <t>Colômbia</t>
  </si>
  <si>
    <t>Países Baixos (Holanda)</t>
  </si>
  <si>
    <t>EXP_EUA_2025</t>
  </si>
  <si>
    <t>EXP_EUA_2026</t>
  </si>
  <si>
    <t>Var_EXP_EUA_Pct</t>
  </si>
  <si>
    <t>EXP_Total_2025</t>
  </si>
  <si>
    <t>EXP_Total_2026</t>
  </si>
  <si>
    <t>Var_EXP_Total_Pct</t>
  </si>
  <si>
    <t>Share_EUA_2025_Pct</t>
  </si>
  <si>
    <t>Share_EUA_2026_Pct</t>
  </si>
  <si>
    <t>Var_Share_EUA_pp</t>
  </si>
  <si>
    <t>SC_EXP_2025</t>
  </si>
  <si>
    <t>BR_EXP_2025</t>
  </si>
  <si>
    <t>Part_Pct_2025</t>
  </si>
  <si>
    <t>SC_EXP_2026</t>
  </si>
  <si>
    <t>BR_EXP_2026</t>
  </si>
  <si>
    <t>Part_Pct_2026</t>
  </si>
  <si>
    <t>Var_SC_EXP_Pct</t>
  </si>
  <si>
    <t>Var_BR_EXP_Pct</t>
  </si>
  <si>
    <t>Var_Part_pp</t>
  </si>
  <si>
    <t>UF</t>
  </si>
  <si>
    <t>Rank_2025</t>
  </si>
  <si>
    <t>Var_Rank</t>
  </si>
  <si>
    <t>Var_EXP_Pct</t>
  </si>
  <si>
    <t>CE</t>
  </si>
  <si>
    <t>RS</t>
  </si>
  <si>
    <t>MT</t>
  </si>
  <si>
    <t>PI</t>
  </si>
  <si>
    <t>SC</t>
  </si>
  <si>
    <t>AC</t>
  </si>
  <si>
    <t>SP</t>
  </si>
  <si>
    <t>PA</t>
  </si>
  <si>
    <t>MS</t>
  </si>
  <si>
    <t>PR</t>
  </si>
  <si>
    <t>BA</t>
  </si>
  <si>
    <t>MG</t>
  </si>
  <si>
    <t>ES</t>
  </si>
  <si>
    <t>AP</t>
  </si>
  <si>
    <t>RO</t>
  </si>
  <si>
    <t>RJ</t>
  </si>
  <si>
    <t>MA</t>
  </si>
  <si>
    <t>Coreia do Sul</t>
  </si>
  <si>
    <t>Camboja</t>
  </si>
  <si>
    <t>Total</t>
  </si>
  <si>
    <t>Exportações  (Valor FOB US$)</t>
  </si>
  <si>
    <t>Variação Interanual</t>
  </si>
  <si>
    <t>Variação Interanual (%)</t>
  </si>
  <si>
    <t>Mês</t>
  </si>
  <si>
    <t>Rótulos de Linha</t>
  </si>
  <si>
    <t>Total Geral</t>
  </si>
  <si>
    <t>Soma de EXP_USD_2026</t>
  </si>
  <si>
    <t>Soma de EXP_USD_2025</t>
  </si>
  <si>
    <t>Soma de Var_EXP_USD_Pct</t>
  </si>
  <si>
    <t>Soma de Var_EXP_Pct</t>
  </si>
  <si>
    <t>Soma de Var_EXP_Kg_Pct</t>
  </si>
  <si>
    <t>Setores (CNAE)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</si>
</sst>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quot;%&quot;"/>
    <numFmt numFmtId="165" formatCode="&quot;+&quot;\ 0.00&quot;%&quot;"/>
    <numFmt numFmtId="166" formatCode="_-* #,##0.0_-;\-* #,##0.0_-;_-* &quot;-&quot;??_-;_-@_-"/>
    <numFmt numFmtId="167" formatCode="_-* #,##0_-;\-* #,##0_-;_-* &quot;-&quot;??_-;_-@_-"/>
  </numFmts>
  <fonts count="9" x14ac:knownFonts="1">
    <font>
      <sz val="11"/>
      <color theme="1"/>
      <name val="Calibri"/>
      <family val="2"/>
      <scheme val="minor"/>
    </font>
    <font>
      <b/>
      <sz val="14"/>
      <color rgb="FF1F4E79"/>
      <name val="Calibri"/>
      <family val="2"/>
      <scheme val="minor"/>
    </font>
    <font>
      <i/>
      <sz val="9"/>
      <color rgb="FF595959"/>
      <name val="Calibri"/>
      <family val="2"/>
      <scheme val="minor"/>
    </font>
    <font>
      <b/>
      <sz val="11"/>
      <color rgb="FFFFFFFF"/>
      <name val="Calibri"/>
      <family val="2"/>
      <scheme val="minor"/>
    </font>
    <font>
      <b/>
      <sz val="9"/>
      <color rgb="FFFFFFFF"/>
      <name val="Calibri"/>
      <family val="2"/>
      <scheme val="minor"/>
    </font>
    <font>
      <sz val="9"/>
      <color theme="1"/>
      <name val="Calibri"/>
      <family val="2"/>
      <scheme val="minor"/>
    </font>
    <font>
      <sz val="9"/>
      <color rgb="FFC00000"/>
      <name val="Calibri"/>
      <family val="2"/>
      <scheme val="minor"/>
    </font>
    <font>
      <sz val="9"/>
      <color rgb="FF375623"/>
      <name val="Calibri"/>
      <family val="2"/>
      <scheme val="minor"/>
    </font>
    <font>
      <sz val="11"/>
      <color theme="1"/>
      <name val="Calibri"/>
      <family val="2"/>
      <scheme val="minor"/>
    </font>
  </fonts>
  <fills count="5">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43" fontId="8" fillId="0" borderId="0" applyFont="0" applyFill="0" applyBorder="0" applyAlignment="0" applyProtection="0"/>
  </cellStyleXfs>
  <cellXfs count="26">
    <xf numFmtId="0" fontId="0" fillId="0" borderId="0" xfId="0"/>
    <xf numFmtId="0" fontId="3" fillId="2" borderId="2" xfId="0" applyFont="1" applyFill="1" applyBorder="1"/>
    <xf numFmtId="0" fontId="3" fillId="3" borderId="2" xfId="0" applyFont="1" applyFill="1" applyBorder="1" applyAlignment="1">
      <alignment horizontal="center"/>
    </xf>
    <xf numFmtId="0" fontId="0" fillId="4" borderId="2" xfId="0" applyFill="1" applyBorder="1"/>
    <xf numFmtId="0" fontId="0" fillId="0" borderId="2" xfId="0" applyBorder="1"/>
    <xf numFmtId="0" fontId="4" fillId="2" borderId="2" xfId="0" applyFont="1" applyFill="1" applyBorder="1" applyAlignment="1">
      <alignment horizontal="center" vertical="center" wrapText="1"/>
    </xf>
    <xf numFmtId="0" fontId="5" fillId="4" borderId="2" xfId="0" applyFont="1" applyFill="1" applyBorder="1"/>
    <xf numFmtId="3" fontId="5" fillId="4" borderId="2" xfId="0" applyNumberFormat="1" applyFont="1" applyFill="1" applyBorder="1"/>
    <xf numFmtId="1" fontId="5" fillId="4" borderId="2" xfId="0" applyNumberFormat="1" applyFont="1" applyFill="1" applyBorder="1"/>
    <xf numFmtId="164" fontId="6" fillId="0" borderId="2" xfId="0" applyNumberFormat="1" applyFont="1" applyBorder="1"/>
    <xf numFmtId="165" fontId="7" fillId="0" borderId="2" xfId="0" applyNumberFormat="1" applyFont="1" applyBorder="1"/>
    <xf numFmtId="164" fontId="5" fillId="4" borderId="2" xfId="0" applyNumberFormat="1" applyFont="1" applyFill="1" applyBorder="1"/>
    <xf numFmtId="0" fontId="5" fillId="0" borderId="2" xfId="0" applyFont="1" applyBorder="1"/>
    <xf numFmtId="3" fontId="5" fillId="0" borderId="2" xfId="0" applyNumberFormat="1" applyFont="1" applyBorder="1"/>
    <xf numFmtId="1" fontId="5" fillId="0" borderId="2" xfId="0" applyNumberFormat="1" applyFont="1" applyBorder="1"/>
    <xf numFmtId="164" fontId="5" fillId="0" borderId="2" xfId="0" applyNumberFormat="1" applyFont="1" applyBorder="1"/>
    <xf numFmtId="0" fontId="1" fillId="0" borderId="1" xfId="0" applyFont="1" applyBorder="1"/>
    <xf numFmtId="0" fontId="2" fillId="0" borderId="0" xfId="0" applyFont="1"/>
    <xf numFmtId="0" fontId="3" fillId="3" borderId="0" xfId="0" applyFont="1" applyFill="1" applyAlignment="1">
      <alignment horizontal="center" vertical="center"/>
    </xf>
    <xf numFmtId="166" fontId="0" fillId="0" borderId="0" xfId="1" applyNumberFormat="1" applyFont="1"/>
    <xf numFmtId="167" fontId="0" fillId="0" borderId="0" xfId="1" applyNumberFormat="1" applyFon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0" borderId="0" xfId="0" applyAlignment="1">
      <alignment horizontal="center"/>
    </xf>
  </cellXfs>
  <cellStyles count="2">
    <cellStyle name="Normal" xfId="0" builtinId="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HAEMING" refreshedDate="46191.724825231482" createdVersion="8" refreshedVersion="8" minRefreshableVersion="3" recordCount="30" xr:uid="{79D477F7-21B6-454C-8CCF-FC0BE49B969E}">
  <cacheSource type="worksheet">
    <worksheetSource ref="A2:E32" sheet="9_Destinos_Setor"/>
  </cacheSource>
  <cacheFields count="5">
    <cacheField name="Setor" numFmtId="0">
      <sharedItems count="3">
        <s v="Base Florestal (CNAE 2)"/>
        <s v="Madeira e Moveis (16+31)"/>
        <s v="Papel e Celulose (CNAE 17)"/>
      </sharedItems>
    </cacheField>
    <cacheField name="Pais" numFmtId="0">
      <sharedItems count="21">
        <s v="China"/>
        <s v="Portugal"/>
        <s v="Estados Unidos"/>
        <s v="Chile"/>
        <s v="Alemanha"/>
        <s v="Coreia do Sul"/>
        <s v="México"/>
        <s v="Camboja"/>
        <s v="África do Sul"/>
        <s v="Colômbia"/>
        <s v="Itália"/>
        <s v="Reino Unido"/>
        <s v="Espanha"/>
        <s v="Arábia Saudita"/>
        <s v="Vietnã"/>
        <s v="França"/>
        <s v="Argentina"/>
        <s v="Paraguai"/>
        <s v="Equador"/>
        <s v="Uruguai"/>
        <s v="Bolívia"/>
      </sharedItems>
    </cacheField>
    <cacheField name="EXP_USD_2026" numFmtId="3">
      <sharedItems containsSemiMixedTypes="0" containsString="0" containsNumber="1" containsInteger="1" minValue="86602" maxValue="167472012"/>
    </cacheField>
    <cacheField name="EXP_USD_2025" numFmtId="3">
      <sharedItems containsSemiMixedTypes="0" containsString="0" containsNumber="1" containsInteger="1" minValue="0" maxValue="310556524"/>
    </cacheField>
    <cacheField name="Var_EXP_USD_Pct" numFmtId="0">
      <sharedItems containsString="0" containsBlank="1" containsNumber="1" minValue="-46.1" maxValue="545.7999999999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HAEMING" refreshedDate="46191.726882175928" createdVersion="8" refreshedVersion="8" minRefreshableVersion="3" recordCount="30" xr:uid="{1A18442F-DDBD-4355-9315-6F6175484F5C}">
  <cacheSource type="worksheet">
    <worksheetSource ref="A2:N32" sheet="4_Top_Produtos"/>
  </cacheSource>
  <cacheFields count="14">
    <cacheField name="Rank_2026" numFmtId="1">
      <sharedItems containsSemiMixedTypes="0" containsString="0" containsNumber="1" containsInteger="1" minValue="1" maxValue="30"/>
    </cacheField>
    <cacheField name="Produto" numFmtId="0">
      <sharedItems count="30">
        <s v="Madeira serrada ou fendida longitudinalmente, cortada transversalmente ou desenrolada, mesmo aplainada, lixada ou unida pelas extremidades, de espessura superior a 6 mm, de pinheiro (Pinus spp.)"/>
        <s v="Outras madeiras compensadas, constituídas exclusivamente por folhas de madeira (exceto de bambu) cada uma das quais de espessura não superior a 6 mm"/>
        <s v="Outras portas e respectivos caixilhos, alizares e soleiras, de madeira, não classificadas em códigos anteriores"/>
        <s v="Papel e cartão para cobertura, denominados Kraftliner, crus, em rolos ou em folhas"/>
        <s v="Outros móveis de madeira"/>
        <s v="Móveis de madeira, do tipo utilizado em quartos de dormir"/>
        <s v="Pellets de madeira"/>
        <s v="Madeira de coníferas perfilada (com espigas, ranhuras, filetes, entalhes, chanfrada, com juntas em V, com cercadura, boleada ou semelhantes) ao longo de uma ou mais bordas, faces ou extremidades, mesmo aplainada, lixada ou unida pelas extremidades"/>
        <s v="Painéis de fibras madeira de média densidade (denominados MDF), de espessura superior a 9 mm, não trabalhados mecanicamente nem recobertos à superfície"/>
        <s v="Sacos cuja base tenha largura igual ou superior a 40 cm, de papel ou cartão"/>
        <s v="Papel Kraft para sacos de grande capacidade, cru, em rolos ou em folhas"/>
        <s v="Madeira em bruto, mesmo descascada, desalburnada ou esquadriada, de eucalipto (Eucalyptus spp.)"/>
        <s v="Outros papéis e cartões Kraft de peso não superior a 150 g/m2, crus, de rigidez dielétrica igual ou superior a 600 V (método ASTM D 202 ou equivalente), em rolos ou em folhas"/>
        <s v="Folhas para folheados (incluindo as obtidas por corte de madeira estratificada), folhas para compensados ou para madeiras estratificadas semelhantes e outras madeiras, etc..., de espessura &lt;= 6 mm, de outras madeiras"/>
        <s v="Papel semiquímico para ondular, não revestidos, em rolos ou em folhas, não tendo sofrido trabalho complementar nem tratamentos"/>
        <s v="Outras obras de marcenaria e peças de carpintaria para construções, incluindo os painéis celulares, os painéis montados para revestimento de pisos (pavimentos) e as fasquias para telhados (shingles e shakes)"/>
        <s v="Painéis de partículas de madeira, mesmo aglomeradas com resinas ou com outros aglutinantes orgânicos, em bruto ou simplesmente polidos"/>
        <s v="Papel higiênico"/>
        <s v="Armações e cabos, de ferramentas, de escovas e de vassouras, de madeira"/>
        <s v="Outras madeiras compensadas, constituídas exclusivamente por folhas de madeira (exceto de bambu) cada uma das quais de espessura não superior a 6 mm, com pelo menos uma face de madeiras tropicais mencionadas na Nota 2 de subposições do presente Capítulo"/>
        <s v="Painéis de fibras madeira de média densidade (denominados MDF), de espessura superior a 5 mm mas não superior a 9 mm, não trabalhados mecanicamente nem recobertos à superfície"/>
        <s v="Outros painéis de fibras madeira de média densidade (denominados MDF), de espessura superior a 9 mm"/>
        <s v="Papel dos tipos utilizados para papel de toucador, toalhas, guardanapos ou para papéis semelhantes de uso doméstico, higiênico ou toucador"/>
        <s v="Caixas de papel ou cartão, ondulados"/>
        <s v="Painéis de fibras madeira de média densidade (denominados MDF), de espessura não superior a 5 mm, não trabalhados mecanicamente nem recobertos à superfície"/>
        <s v="Outros sacos; bolsas e cartuchos, de papel ou cartão"/>
        <s v="Móveis de madeira, do tipo utilizado em cozinhas"/>
        <s v="Outras obras em madeira"/>
        <s v="Outros painéis de partículas de madeira, recobertos na superfície com papel impregnado de melamina"/>
        <s v="Outros sucos e extratos vegetais"/>
      </sharedItems>
    </cacheField>
    <cacheField name="Setor" numFmtId="0">
      <sharedItems/>
    </cacheField>
    <cacheField name="EXP_USD_2025" numFmtId="3">
      <sharedItems containsSemiMixedTypes="0" containsString="0" containsNumber="1" containsInteger="1" minValue="0" maxValue="8284486"/>
    </cacheField>
    <cacheField name="EXP_USD_2026" numFmtId="3">
      <sharedItems containsSemiMixedTypes="0" containsString="0" containsNumber="1" containsInteger="1" minValue="2429922" maxValue="160207970"/>
    </cacheField>
    <cacheField name="Var_EXP_USD_Pct" numFmtId="0">
      <sharedItems containsString="0" containsBlank="1" containsNumber="1" minValue="-22.2" maxValue="-22.2"/>
    </cacheField>
    <cacheField name="EXP_Kg_2025" numFmtId="3">
      <sharedItems containsSemiMixedTypes="0" containsString="0" containsNumber="1" containsInteger="1" minValue="0" maxValue="5180899"/>
    </cacheField>
    <cacheField name="EXP_Kg_2026" numFmtId="3">
      <sharedItems containsSemiMixedTypes="0" containsString="0" containsNumber="1" containsInteger="1" minValue="216245" maxValue="335030716"/>
    </cacheField>
    <cacheField name="Var_EXP_Kg_Pct" numFmtId="0">
      <sharedItems containsString="0" containsBlank="1" containsNumber="1" minValue="-19.8" maxValue="-19.8"/>
    </cacheField>
    <cacheField name="Preco_Med_2025" numFmtId="0">
      <sharedItems containsString="0" containsBlank="1" containsNumber="1" minValue="1.6" maxValue="1.6"/>
    </cacheField>
    <cacheField name="Preco_Med_2026" numFmtId="3">
      <sharedItems containsSemiMixedTypes="0" containsString="0" containsNumber="1" minValue="0.08" maxValue="11.24"/>
    </cacheField>
    <cacheField name="Var_Preco_Med_Pct" numFmtId="0">
      <sharedItems containsString="0" containsBlank="1" containsNumber="1" minValue="-3.1" maxValue="-3.1"/>
    </cacheField>
    <cacheField name="Nr_Destinos_2025" numFmtId="1">
      <sharedItems containsSemiMixedTypes="0" containsString="0" containsNumber="1" containsInteger="1" minValue="0" maxValue="20"/>
    </cacheField>
    <cacheField name="Nr_Destinos_2026" numFmtId="1">
      <sharedItems containsSemiMixedTypes="0" containsString="0" containsNumber="1" containsInteger="1" minValue="5" maxValue="6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HAEMING" refreshedDate="46191.743371180557" createdVersion="8" refreshedVersion="8" minRefreshableVersion="3" recordCount="49" xr:uid="{5B756FDB-FC2C-4F64-ACDE-530E584D444A}">
  <cacheSource type="worksheet">
    <worksheetSource ref="A2:J51" sheet="8_Ranking_Estados"/>
  </cacheSource>
  <cacheFields count="10">
    <cacheField name="Setor" numFmtId="0">
      <sharedItems count="6">
        <s v="Base Florestal (CNAE 2)"/>
        <s v="Complexo Florestal"/>
        <s v="Madeira (CNAE 16)"/>
        <s v="Madeira e Moveis (16+31)"/>
        <s v="Moveis (CNAE 31)"/>
        <s v="Papel e Celulose (CNAE 17)"/>
      </sharedItems>
    </cacheField>
    <cacheField name="UF" numFmtId="0">
      <sharedItems count="17">
        <s v="CE"/>
        <s v="RS"/>
        <s v="MT"/>
        <s v="PI"/>
        <s v="SC"/>
        <s v="AC"/>
        <s v="SP"/>
        <s v="PA"/>
        <s v="MS"/>
        <s v="PR"/>
        <s v="BA"/>
        <s v="MG"/>
        <s v="ES"/>
        <s v="AP"/>
        <s v="RO"/>
        <s v="RJ"/>
        <s v="MA"/>
      </sharedItems>
    </cacheField>
    <cacheField name="Rank_2025" numFmtId="1">
      <sharedItems containsSemiMixedTypes="0" containsString="0" containsNumber="1" containsInteger="1" minValue="1" maxValue="9"/>
    </cacheField>
    <cacheField name="Rank_2026" numFmtId="1">
      <sharedItems containsSemiMixedTypes="0" containsString="0" containsNumber="1" containsInteger="1" minValue="1" maxValue="9"/>
    </cacheField>
    <cacheField name="Var_Rank" numFmtId="0">
      <sharedItems containsSemiMixedTypes="0" containsString="0" containsNumber="1" containsInteger="1" minValue="-3" maxValue="2"/>
    </cacheField>
    <cacheField name="EXP_USD_2025" numFmtId="3">
      <sharedItems containsSemiMixedTypes="0" containsString="0" containsNumber="1" containsInteger="1" minValue="215742" maxValue="1448646342"/>
    </cacheField>
    <cacheField name="EXP_USD_2026" numFmtId="3">
      <sharedItems containsSemiMixedTypes="0" containsString="0" containsNumber="1" containsInteger="1" minValue="278960" maxValue="1458548224"/>
    </cacheField>
    <cacheField name="Var_EXP_Pct" numFmtId="0">
      <sharedItems containsSemiMixedTypes="0" containsString="0" containsNumber="1" minValue="-33.200000000000003" maxValue="53.7"/>
    </cacheField>
    <cacheField name="Share_2025_Pct" numFmtId="164">
      <sharedItems containsSemiMixedTypes="0" containsString="0" containsNumber="1" minValue="0.08" maxValue="38.99"/>
    </cacheField>
    <cacheField name="Share_2026_Pct" numFmtId="164">
      <sharedItems containsSemiMixedTypes="0" containsString="0" containsNumber="1" minValue="0.11" maxValue="37.4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HAEMING" refreshedDate="46191.746862962966" createdVersion="8" refreshedVersion="8" minRefreshableVersion="3" recordCount="30" xr:uid="{0757FAB6-2127-4593-93C8-234603425EBA}">
  <cacheSource type="worksheet">
    <worksheetSource ref="A2:I32" sheet="3_Mensal_Setor"/>
  </cacheSource>
  <cacheFields count="9">
    <cacheField name="Setor" numFmtId="0">
      <sharedItems count="6">
        <s v="Base Florestal (CNAE 2)"/>
        <s v="Complexo Florestal"/>
        <s v="Madeira (CNAE 16)"/>
        <s v="Madeira e Moveis (16+31)"/>
        <s v="Moveis (CNAE 31)"/>
        <s v="Papel e Celulose (CNAE 17)"/>
      </sharedItems>
    </cacheField>
    <cacheField name="Mes" numFmtId="0">
      <sharedItems containsSemiMixedTypes="0" containsString="0" containsNumber="1" containsInteger="1" minValue="1" maxValue="5"/>
    </cacheField>
    <cacheField name="Mes_Nome" numFmtId="0">
      <sharedItems/>
    </cacheField>
    <cacheField name="EXP_USD_2025" numFmtId="3">
      <sharedItems containsSemiMixedTypes="0" containsString="0" containsNumber="1" containsInteger="1" minValue="2012978" maxValue="176527546"/>
    </cacheField>
    <cacheField name="EXP_Kg_2025" numFmtId="3">
      <sharedItems containsSemiMixedTypes="0" containsString="0" containsNumber="1" containsInteger="1" minValue="6971742" maxValue="309525557"/>
    </cacheField>
    <cacheField name="EXP_USD_2026" numFmtId="3">
      <sharedItems containsSemiMixedTypes="0" containsString="0" containsNumber="1" containsInteger="1" minValue="2145027" maxValue="162843511"/>
    </cacheField>
    <cacheField name="EXP_Kg_2026" numFmtId="3">
      <sharedItems containsSemiMixedTypes="0" containsString="0" containsNumber="1" containsInteger="1" minValue="4242759" maxValue="273468985"/>
    </cacheField>
    <cacheField name="Var_EXP_USD_Pct" numFmtId="0">
      <sharedItems containsSemiMixedTypes="0" containsString="0" containsNumber="1" minValue="-57.9" maxValue="95.9"/>
    </cacheField>
    <cacheField name="Var_EXP_Kg_Pct" numFmtId="0">
      <sharedItems containsSemiMixedTypes="0" containsString="0" containsNumber="1" minValue="-66.3" maxValue="8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7830906"/>
    <n v="9913341"/>
    <n v="-21"/>
  </r>
  <r>
    <x v="0"/>
    <x v="1"/>
    <n v="6338519"/>
    <n v="11084217"/>
    <n v="-42.8"/>
  </r>
  <r>
    <x v="0"/>
    <x v="2"/>
    <n v="665919"/>
    <n v="103117"/>
    <n v="545.79999999999995"/>
  </r>
  <r>
    <x v="0"/>
    <x v="3"/>
    <n v="421923"/>
    <n v="0"/>
    <m/>
  </r>
  <r>
    <x v="0"/>
    <x v="4"/>
    <n v="375884"/>
    <n v="395917"/>
    <n v="-5.0999999999999996"/>
  </r>
  <r>
    <x v="0"/>
    <x v="5"/>
    <n v="274620"/>
    <n v="130410"/>
    <n v="110.6"/>
  </r>
  <r>
    <x v="0"/>
    <x v="6"/>
    <n v="149332"/>
    <n v="0"/>
    <m/>
  </r>
  <r>
    <x v="0"/>
    <x v="7"/>
    <n v="124897"/>
    <n v="0"/>
    <m/>
  </r>
  <r>
    <x v="0"/>
    <x v="8"/>
    <n v="102902"/>
    <n v="0"/>
    <m/>
  </r>
  <r>
    <x v="0"/>
    <x v="9"/>
    <n v="86602"/>
    <n v="86803"/>
    <n v="-0.2"/>
  </r>
  <r>
    <x v="1"/>
    <x v="2"/>
    <n v="167472012"/>
    <n v="310556524"/>
    <n v="-46.1"/>
  </r>
  <r>
    <x v="1"/>
    <x v="6"/>
    <n v="45611970"/>
    <n v="30007569"/>
    <n v="52"/>
  </r>
  <r>
    <x v="1"/>
    <x v="10"/>
    <n v="35336062"/>
    <n v="18452711"/>
    <n v="91.5"/>
  </r>
  <r>
    <x v="1"/>
    <x v="11"/>
    <n v="23247555"/>
    <n v="25064058"/>
    <n v="-7.2"/>
  </r>
  <r>
    <x v="1"/>
    <x v="12"/>
    <n v="20274000"/>
    <n v="0"/>
    <m/>
  </r>
  <r>
    <x v="1"/>
    <x v="13"/>
    <n v="16030897"/>
    <n v="19659558"/>
    <n v="-18.5"/>
  </r>
  <r>
    <x v="1"/>
    <x v="14"/>
    <n v="13776506"/>
    <n v="11160558"/>
    <n v="23.4"/>
  </r>
  <r>
    <x v="1"/>
    <x v="4"/>
    <n v="13702001"/>
    <n v="13621245"/>
    <n v="0.6"/>
  </r>
  <r>
    <x v="1"/>
    <x v="15"/>
    <n v="9991895"/>
    <n v="14547479"/>
    <n v="-31.3"/>
  </r>
  <r>
    <x v="1"/>
    <x v="1"/>
    <n v="9829417"/>
    <n v="0"/>
    <m/>
  </r>
  <r>
    <x v="2"/>
    <x v="16"/>
    <n v="40926578"/>
    <n v="43396705"/>
    <n v="-5.7"/>
  </r>
  <r>
    <x v="2"/>
    <x v="17"/>
    <n v="15690001"/>
    <n v="14578249"/>
    <n v="7.6"/>
  </r>
  <r>
    <x v="2"/>
    <x v="8"/>
    <n v="12897277"/>
    <n v="2846750"/>
    <n v="353.1"/>
  </r>
  <r>
    <x v="2"/>
    <x v="3"/>
    <n v="10813779"/>
    <n v="12310975"/>
    <n v="-12.2"/>
  </r>
  <r>
    <x v="2"/>
    <x v="18"/>
    <n v="8599703"/>
    <n v="9290868"/>
    <n v="-7.4"/>
  </r>
  <r>
    <x v="2"/>
    <x v="19"/>
    <n v="8581197"/>
    <n v="8869559"/>
    <n v="-3.3"/>
  </r>
  <r>
    <x v="2"/>
    <x v="6"/>
    <n v="7807216"/>
    <n v="8314529"/>
    <n v="-6.1"/>
  </r>
  <r>
    <x v="2"/>
    <x v="2"/>
    <n v="6278232"/>
    <n v="11497499"/>
    <n v="-45.4"/>
  </r>
  <r>
    <x v="2"/>
    <x v="0"/>
    <n v="6110623"/>
    <n v="0"/>
    <m/>
  </r>
  <r>
    <x v="2"/>
    <x v="20"/>
    <n v="5926425"/>
    <n v="6159594"/>
    <n v="-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s v="Madeira e Móveis"/>
    <n v="0"/>
    <n v="160207970"/>
    <m/>
    <n v="0"/>
    <n v="335030716"/>
    <m/>
    <m/>
    <n v="0.48"/>
    <m/>
    <n v="0"/>
    <n v="56"/>
  </r>
  <r>
    <n v="2"/>
    <x v="1"/>
    <s v="Madeira e Móveis"/>
    <n v="0"/>
    <n v="87646167"/>
    <m/>
    <n v="0"/>
    <n v="160711581"/>
    <m/>
    <m/>
    <n v="0.55000000000000004"/>
    <m/>
    <n v="0"/>
    <n v="66"/>
  </r>
  <r>
    <n v="3"/>
    <x v="2"/>
    <s v="Madeira e Móveis"/>
    <n v="0"/>
    <n v="68915332"/>
    <m/>
    <n v="0"/>
    <n v="33224380"/>
    <m/>
    <m/>
    <n v="2.0699999999999998"/>
    <m/>
    <n v="0"/>
    <n v="46"/>
  </r>
  <r>
    <n v="4"/>
    <x v="3"/>
    <s v="Papel e Celulose"/>
    <n v="0"/>
    <n v="63928962"/>
    <m/>
    <n v="0"/>
    <n v="108797288"/>
    <m/>
    <m/>
    <n v="0.59"/>
    <m/>
    <n v="0"/>
    <n v="34"/>
  </r>
  <r>
    <n v="5"/>
    <x v="4"/>
    <s v="Madeira e Móveis"/>
    <n v="0"/>
    <n v="33116883"/>
    <m/>
    <n v="0"/>
    <n v="13966960"/>
    <m/>
    <m/>
    <n v="2.37"/>
    <m/>
    <n v="0"/>
    <n v="56"/>
  </r>
  <r>
    <n v="6"/>
    <x v="5"/>
    <s v="Madeira e Móveis"/>
    <n v="0"/>
    <n v="32462220"/>
    <m/>
    <n v="0"/>
    <n v="16298203"/>
    <m/>
    <m/>
    <n v="1.99"/>
    <m/>
    <n v="0"/>
    <n v="65"/>
  </r>
  <r>
    <n v="7"/>
    <x v="6"/>
    <s v="Madeira e Móveis"/>
    <n v="0"/>
    <n v="26326758"/>
    <m/>
    <n v="0"/>
    <n v="119302345"/>
    <m/>
    <m/>
    <n v="0.22"/>
    <m/>
    <n v="0"/>
    <n v="11"/>
  </r>
  <r>
    <n v="8"/>
    <x v="7"/>
    <s v="Madeira e Móveis"/>
    <n v="0"/>
    <n v="25085630"/>
    <m/>
    <n v="0"/>
    <n v="17485674"/>
    <m/>
    <m/>
    <n v="1.43"/>
    <m/>
    <n v="0"/>
    <n v="14"/>
  </r>
  <r>
    <n v="9"/>
    <x v="8"/>
    <s v="Madeira e Móveis"/>
    <n v="0"/>
    <n v="21481589"/>
    <m/>
    <n v="0"/>
    <n v="62012466"/>
    <m/>
    <m/>
    <n v="0.35"/>
    <m/>
    <n v="0"/>
    <n v="31"/>
  </r>
  <r>
    <n v="10"/>
    <x v="9"/>
    <s v="Papel e Celulose"/>
    <n v="0"/>
    <n v="20026242"/>
    <m/>
    <n v="0"/>
    <n v="16100424"/>
    <m/>
    <m/>
    <n v="1.24"/>
    <m/>
    <n v="0"/>
    <n v="22"/>
  </r>
  <r>
    <n v="11"/>
    <x v="10"/>
    <s v="Papel e Celulose"/>
    <n v="0"/>
    <n v="18945793"/>
    <m/>
    <n v="0"/>
    <n v="26268860"/>
    <m/>
    <m/>
    <n v="0.72"/>
    <m/>
    <n v="0"/>
    <n v="38"/>
  </r>
  <r>
    <n v="12"/>
    <x v="11"/>
    <s v="Produção Florestal"/>
    <n v="0"/>
    <n v="14439592"/>
    <m/>
    <n v="0"/>
    <n v="175969684"/>
    <m/>
    <m/>
    <n v="0.08"/>
    <m/>
    <n v="0"/>
    <n v="8"/>
  </r>
  <r>
    <n v="13"/>
    <x v="12"/>
    <s v="Papel e Celulose"/>
    <n v="0"/>
    <n v="12661650"/>
    <m/>
    <n v="0"/>
    <n v="15855376"/>
    <m/>
    <m/>
    <n v="0.8"/>
    <m/>
    <n v="0"/>
    <n v="20"/>
  </r>
  <r>
    <n v="14"/>
    <x v="13"/>
    <s v="Madeira e Móveis"/>
    <n v="0"/>
    <n v="10954533"/>
    <m/>
    <n v="0"/>
    <n v="41796844"/>
    <m/>
    <m/>
    <n v="0.26"/>
    <m/>
    <n v="0"/>
    <n v="14"/>
  </r>
  <r>
    <n v="15"/>
    <x v="14"/>
    <s v="Papel e Celulose"/>
    <n v="0"/>
    <n v="10092535"/>
    <m/>
    <n v="0"/>
    <n v="16905470"/>
    <m/>
    <m/>
    <n v="0.6"/>
    <m/>
    <n v="0"/>
    <n v="9"/>
  </r>
  <r>
    <n v="16"/>
    <x v="15"/>
    <s v="Madeira e Móveis"/>
    <n v="0"/>
    <n v="8094940"/>
    <m/>
    <n v="0"/>
    <n v="6825654"/>
    <m/>
    <m/>
    <n v="1.19"/>
    <m/>
    <n v="0"/>
    <n v="19"/>
  </r>
  <r>
    <n v="17"/>
    <x v="16"/>
    <s v="Madeira e Móveis"/>
    <n v="0"/>
    <n v="7279430"/>
    <m/>
    <n v="0"/>
    <n v="21520785"/>
    <m/>
    <m/>
    <n v="0.34"/>
    <m/>
    <n v="0"/>
    <n v="13"/>
  </r>
  <r>
    <n v="18"/>
    <x v="17"/>
    <s v="Papel e Celulose"/>
    <n v="8284486"/>
    <n v="6443476"/>
    <n v="-22.2"/>
    <n v="5180899"/>
    <n v="4153727"/>
    <n v="-19.8"/>
    <n v="1.6"/>
    <n v="1.55"/>
    <n v="-3.1"/>
    <n v="20"/>
    <n v="15"/>
  </r>
  <r>
    <n v="19"/>
    <x v="18"/>
    <s v="Madeira e Móveis"/>
    <n v="0"/>
    <n v="4765631"/>
    <m/>
    <n v="0"/>
    <n v="2511419"/>
    <m/>
    <m/>
    <n v="1.9"/>
    <m/>
    <n v="0"/>
    <n v="15"/>
  </r>
  <r>
    <n v="20"/>
    <x v="19"/>
    <s v="Madeira e Móveis"/>
    <n v="0"/>
    <n v="4454102"/>
    <m/>
    <n v="0"/>
    <n v="5646170"/>
    <m/>
    <m/>
    <n v="0.79"/>
    <m/>
    <n v="0"/>
    <n v="13"/>
  </r>
  <r>
    <n v="21"/>
    <x v="20"/>
    <s v="Madeira e Móveis"/>
    <n v="0"/>
    <n v="4176740"/>
    <m/>
    <n v="0"/>
    <n v="11789133"/>
    <m/>
    <m/>
    <n v="0.35"/>
    <m/>
    <n v="0"/>
    <n v="23"/>
  </r>
  <r>
    <n v="22"/>
    <x v="21"/>
    <s v="Madeira e Móveis"/>
    <n v="0"/>
    <n v="3780832"/>
    <m/>
    <n v="0"/>
    <n v="6875611"/>
    <m/>
    <m/>
    <n v="0.55000000000000004"/>
    <m/>
    <n v="0"/>
    <n v="17"/>
  </r>
  <r>
    <n v="23"/>
    <x v="22"/>
    <s v="Papel e Celulose"/>
    <n v="0"/>
    <n v="3694914"/>
    <m/>
    <n v="0"/>
    <n v="3131178"/>
    <m/>
    <m/>
    <n v="1.18"/>
    <m/>
    <n v="0"/>
    <n v="5"/>
  </r>
  <r>
    <n v="24"/>
    <x v="23"/>
    <s v="Papel e Celulose"/>
    <n v="0"/>
    <n v="3648969"/>
    <m/>
    <n v="0"/>
    <n v="3451695"/>
    <m/>
    <m/>
    <n v="1.06"/>
    <m/>
    <n v="0"/>
    <n v="16"/>
  </r>
  <r>
    <n v="25"/>
    <x v="24"/>
    <s v="Madeira e Móveis"/>
    <n v="0"/>
    <n v="3521011"/>
    <m/>
    <n v="0"/>
    <n v="10851977"/>
    <m/>
    <m/>
    <n v="0.32"/>
    <m/>
    <n v="0"/>
    <n v="17"/>
  </r>
  <r>
    <n v="26"/>
    <x v="25"/>
    <s v="Papel e Celulose"/>
    <n v="0"/>
    <n v="3343594"/>
    <m/>
    <n v="0"/>
    <n v="2307461"/>
    <m/>
    <m/>
    <n v="1.45"/>
    <m/>
    <n v="0"/>
    <n v="25"/>
  </r>
  <r>
    <n v="27"/>
    <x v="26"/>
    <s v="Madeira e Móveis"/>
    <n v="0"/>
    <n v="3333506"/>
    <m/>
    <n v="0"/>
    <n v="1624260"/>
    <m/>
    <m/>
    <n v="2.0499999999999998"/>
    <m/>
    <n v="0"/>
    <n v="28"/>
  </r>
  <r>
    <n v="28"/>
    <x v="27"/>
    <s v="Madeira e Móveis"/>
    <n v="0"/>
    <n v="3154329"/>
    <m/>
    <n v="0"/>
    <n v="2213121"/>
    <m/>
    <m/>
    <n v="1.43"/>
    <m/>
    <n v="0"/>
    <n v="21"/>
  </r>
  <r>
    <n v="29"/>
    <x v="28"/>
    <s v="Madeira e Móveis"/>
    <n v="0"/>
    <n v="3047222"/>
    <m/>
    <n v="0"/>
    <n v="6102404"/>
    <m/>
    <m/>
    <n v="0.5"/>
    <m/>
    <n v="0"/>
    <n v="15"/>
  </r>
  <r>
    <n v="30"/>
    <x v="29"/>
    <s v="Produção Florestal"/>
    <n v="0"/>
    <n v="2429922"/>
    <m/>
    <n v="0"/>
    <n v="216245"/>
    <m/>
    <m/>
    <n v="11.24"/>
    <m/>
    <n v="0"/>
    <n v="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
    <n v="1"/>
    <n v="0"/>
    <n v="49023439"/>
    <n v="46125833"/>
    <n v="-5.9"/>
    <n v="30.57"/>
    <n v="28.79"/>
  </r>
  <r>
    <x v="0"/>
    <x v="1"/>
    <n v="3"/>
    <n v="2"/>
    <n v="1"/>
    <n v="20610181"/>
    <n v="19566832"/>
    <n v="-5.0999999999999996"/>
    <n v="12.85"/>
    <n v="12.21"/>
  </r>
  <r>
    <x v="0"/>
    <x v="2"/>
    <n v="5"/>
    <n v="3"/>
    <n v="2"/>
    <n v="15029945"/>
    <n v="19201643"/>
    <n v="27.8"/>
    <n v="9.3699999999999992"/>
    <n v="11.99"/>
  </r>
  <r>
    <x v="0"/>
    <x v="3"/>
    <n v="4"/>
    <n v="4"/>
    <n v="0"/>
    <n v="20134214"/>
    <n v="18513052"/>
    <n v="-8.1"/>
    <n v="12.55"/>
    <n v="11.56"/>
  </r>
  <r>
    <x v="0"/>
    <x v="4"/>
    <n v="2"/>
    <n v="5"/>
    <n v="-3"/>
    <n v="22089826"/>
    <n v="16880970"/>
    <n v="-23.6"/>
    <n v="13.77"/>
    <n v="10.54"/>
  </r>
  <r>
    <x v="0"/>
    <x v="5"/>
    <n v="8"/>
    <n v="6"/>
    <n v="2"/>
    <n v="7628822"/>
    <n v="11074509"/>
    <n v="45.2"/>
    <n v="4.76"/>
    <n v="6.91"/>
  </r>
  <r>
    <x v="0"/>
    <x v="6"/>
    <n v="7"/>
    <n v="7"/>
    <n v="0"/>
    <n v="8630432"/>
    <n v="10188303"/>
    <n v="18.100000000000001"/>
    <n v="5.38"/>
    <n v="6.36"/>
  </r>
  <r>
    <x v="0"/>
    <x v="7"/>
    <n v="6"/>
    <n v="8"/>
    <n v="-2"/>
    <n v="9036356"/>
    <n v="7312990"/>
    <n v="-19.100000000000001"/>
    <n v="5.63"/>
    <n v="4.5599999999999996"/>
  </r>
  <r>
    <x v="1"/>
    <x v="6"/>
    <n v="2"/>
    <n v="1"/>
    <n v="1"/>
    <n v="1286645189"/>
    <n v="1458548224"/>
    <n v="13.4"/>
    <n v="17.36"/>
    <n v="21.17"/>
  </r>
  <r>
    <x v="1"/>
    <x v="8"/>
    <n v="1"/>
    <n v="2"/>
    <n v="-1"/>
    <n v="1448646342"/>
    <n v="1128060444"/>
    <n v="-22.1"/>
    <n v="19.54"/>
    <n v="16.37"/>
  </r>
  <r>
    <x v="1"/>
    <x v="9"/>
    <n v="3"/>
    <n v="3"/>
    <n v="0"/>
    <n v="1167887896"/>
    <n v="1097510529"/>
    <n v="-6"/>
    <n v="15.76"/>
    <n v="15.93"/>
  </r>
  <r>
    <x v="1"/>
    <x v="4"/>
    <n v="4"/>
    <n v="4"/>
    <n v="0"/>
    <n v="822249297"/>
    <n v="703692771"/>
    <n v="-14.4"/>
    <n v="11.09"/>
    <n v="10.210000000000001"/>
  </r>
  <r>
    <x v="1"/>
    <x v="1"/>
    <n v="5"/>
    <n v="5"/>
    <n v="0"/>
    <n v="616476192"/>
    <n v="614647853"/>
    <n v="-0.3"/>
    <n v="8.32"/>
    <n v="8.92"/>
  </r>
  <r>
    <x v="1"/>
    <x v="10"/>
    <n v="6"/>
    <n v="6"/>
    <n v="0"/>
    <n v="598073039"/>
    <n v="530478570"/>
    <n v="-11.3"/>
    <n v="8.07"/>
    <n v="7.7"/>
  </r>
  <r>
    <x v="1"/>
    <x v="11"/>
    <n v="7"/>
    <n v="7"/>
    <n v="0"/>
    <n v="469728475"/>
    <n v="451564703"/>
    <n v="-3.9"/>
    <n v="6.34"/>
    <n v="6.55"/>
  </r>
  <r>
    <x v="1"/>
    <x v="12"/>
    <n v="8"/>
    <n v="8"/>
    <n v="0"/>
    <n v="391903707"/>
    <n v="304887939"/>
    <n v="-22.2"/>
    <n v="5.29"/>
    <n v="4.42"/>
  </r>
  <r>
    <x v="2"/>
    <x v="4"/>
    <n v="2"/>
    <n v="1"/>
    <n v="1"/>
    <n v="539476441"/>
    <n v="453832619"/>
    <n v="-15.9"/>
    <n v="37.450000000000003"/>
    <n v="37.43"/>
  </r>
  <r>
    <x v="2"/>
    <x v="9"/>
    <n v="1"/>
    <n v="2"/>
    <n v="-1"/>
    <n v="545271156"/>
    <n v="384674857"/>
    <n v="-29.5"/>
    <n v="37.85"/>
    <n v="31.72"/>
  </r>
  <r>
    <x v="2"/>
    <x v="1"/>
    <n v="3"/>
    <n v="3"/>
    <n v="0"/>
    <n v="108503830"/>
    <n v="112099906"/>
    <n v="3.3"/>
    <n v="7.53"/>
    <n v="9.24"/>
  </r>
  <r>
    <x v="2"/>
    <x v="7"/>
    <n v="5"/>
    <n v="4"/>
    <n v="1"/>
    <n v="65607587"/>
    <n v="100813103"/>
    <n v="53.7"/>
    <n v="4.55"/>
    <n v="8.31"/>
  </r>
  <r>
    <x v="2"/>
    <x v="6"/>
    <n v="4"/>
    <n v="5"/>
    <n v="-1"/>
    <n v="85806013"/>
    <n v="62199029"/>
    <n v="-27.5"/>
    <n v="5.96"/>
    <n v="5.13"/>
  </r>
  <r>
    <x v="2"/>
    <x v="13"/>
    <n v="6"/>
    <n v="6"/>
    <n v="0"/>
    <n v="32207941"/>
    <n v="33582989"/>
    <n v="4.3"/>
    <n v="2.2400000000000002"/>
    <n v="2.77"/>
  </r>
  <r>
    <x v="2"/>
    <x v="2"/>
    <n v="7"/>
    <n v="7"/>
    <n v="0"/>
    <n v="25263112"/>
    <n v="27550456"/>
    <n v="9.1"/>
    <n v="1.75"/>
    <n v="2.27"/>
  </r>
  <r>
    <x v="2"/>
    <x v="14"/>
    <n v="8"/>
    <n v="8"/>
    <n v="0"/>
    <n v="24695496"/>
    <n v="24769609"/>
    <n v="0.3"/>
    <n v="1.71"/>
    <n v="2.04"/>
  </r>
  <r>
    <x v="3"/>
    <x v="4"/>
    <n v="1"/>
    <n v="1"/>
    <n v="0"/>
    <n v="651307575"/>
    <n v="532385560"/>
    <n v="-18.3"/>
    <n v="37.700000000000003"/>
    <n v="36.07"/>
  </r>
  <r>
    <x v="3"/>
    <x v="9"/>
    <n v="2"/>
    <n v="2"/>
    <n v="0"/>
    <n v="594368069"/>
    <n v="439178554"/>
    <n v="-26.1"/>
    <n v="34.409999999999997"/>
    <n v="29.75"/>
  </r>
  <r>
    <x v="3"/>
    <x v="1"/>
    <n v="3"/>
    <n v="3"/>
    <n v="0"/>
    <n v="191582676"/>
    <n v="202213732"/>
    <n v="5.5"/>
    <n v="11.09"/>
    <n v="13.7"/>
  </r>
  <r>
    <x v="3"/>
    <x v="7"/>
    <n v="5"/>
    <n v="4"/>
    <n v="1"/>
    <n v="65743066"/>
    <n v="100839887"/>
    <n v="53.4"/>
    <n v="3.81"/>
    <n v="6.83"/>
  </r>
  <r>
    <x v="3"/>
    <x v="6"/>
    <n v="4"/>
    <n v="5"/>
    <n v="-1"/>
    <n v="120764620"/>
    <n v="96844319"/>
    <n v="-19.8"/>
    <n v="6.99"/>
    <n v="6.56"/>
  </r>
  <r>
    <x v="3"/>
    <x v="13"/>
    <n v="6"/>
    <n v="6"/>
    <n v="0"/>
    <n v="32223112"/>
    <n v="33624033"/>
    <n v="4.3"/>
    <n v="1.87"/>
    <n v="2.2799999999999998"/>
  </r>
  <r>
    <x v="3"/>
    <x v="2"/>
    <n v="7"/>
    <n v="7"/>
    <n v="0"/>
    <n v="25402611"/>
    <n v="27572536"/>
    <n v="8.5"/>
    <n v="1.47"/>
    <n v="1.87"/>
  </r>
  <r>
    <x v="3"/>
    <x v="14"/>
    <n v="8"/>
    <n v="8"/>
    <n v="0"/>
    <n v="24808030"/>
    <n v="24897634"/>
    <n v="0.4"/>
    <n v="1.44"/>
    <n v="1.69"/>
  </r>
  <r>
    <x v="4"/>
    <x v="1"/>
    <n v="2"/>
    <n v="1"/>
    <n v="1"/>
    <n v="83078846"/>
    <n v="90113826"/>
    <n v="8.5"/>
    <n v="28.96"/>
    <n v="34.200000000000003"/>
  </r>
  <r>
    <x v="4"/>
    <x v="4"/>
    <n v="1"/>
    <n v="2"/>
    <n v="-1"/>
    <n v="111831134"/>
    <n v="78552941"/>
    <n v="-29.8"/>
    <n v="38.99"/>
    <n v="29.81"/>
  </r>
  <r>
    <x v="4"/>
    <x v="9"/>
    <n v="3"/>
    <n v="3"/>
    <n v="0"/>
    <n v="49096913"/>
    <n v="54503697"/>
    <n v="11"/>
    <n v="17.12"/>
    <n v="20.69"/>
  </r>
  <r>
    <x v="4"/>
    <x v="6"/>
    <n v="4"/>
    <n v="4"/>
    <n v="0"/>
    <n v="34958607"/>
    <n v="34645290"/>
    <n v="-0.9"/>
    <n v="12.19"/>
    <n v="13.15"/>
  </r>
  <r>
    <x v="4"/>
    <x v="11"/>
    <n v="5"/>
    <n v="5"/>
    <n v="0"/>
    <n v="3789110"/>
    <n v="2662141"/>
    <n v="-29.7"/>
    <n v="1.32"/>
    <n v="1.01"/>
  </r>
  <r>
    <x v="4"/>
    <x v="12"/>
    <n v="6"/>
    <n v="6"/>
    <n v="0"/>
    <n v="2427028"/>
    <n v="1622423"/>
    <n v="-33.200000000000003"/>
    <n v="0.85"/>
    <n v="0.62"/>
  </r>
  <r>
    <x v="4"/>
    <x v="15"/>
    <n v="7"/>
    <n v="7"/>
    <n v="0"/>
    <n v="431453"/>
    <n v="395142"/>
    <n v="-8.4"/>
    <n v="0.15"/>
    <n v="0.15"/>
  </r>
  <r>
    <x v="4"/>
    <x v="10"/>
    <n v="8"/>
    <n v="8"/>
    <n v="0"/>
    <n v="215742"/>
    <n v="278960"/>
    <n v="29.3"/>
    <n v="0.08"/>
    <n v="0.11"/>
  </r>
  <r>
    <x v="5"/>
    <x v="6"/>
    <n v="2"/>
    <n v="1"/>
    <n v="1"/>
    <n v="1157248762"/>
    <n v="1351515602"/>
    <n v="16.8"/>
    <n v="20.95"/>
    <n v="25.72"/>
  </r>
  <r>
    <x v="5"/>
    <x v="8"/>
    <n v="1"/>
    <n v="2"/>
    <n v="-1"/>
    <n v="1447320913"/>
    <n v="1126782979"/>
    <n v="-22.1"/>
    <n v="26.2"/>
    <n v="21.44"/>
  </r>
  <r>
    <x v="5"/>
    <x v="9"/>
    <n v="4"/>
    <n v="3"/>
    <n v="1"/>
    <n v="571229986"/>
    <n v="655116684"/>
    <n v="14.7"/>
    <n v="10.34"/>
    <n v="12.47"/>
  </r>
  <r>
    <x v="5"/>
    <x v="10"/>
    <n v="3"/>
    <n v="4"/>
    <n v="-1"/>
    <n v="597491310"/>
    <n v="530110654"/>
    <n v="-11.3"/>
    <n v="10.82"/>
    <n v="10.09"/>
  </r>
  <r>
    <x v="5"/>
    <x v="11"/>
    <n v="5"/>
    <n v="5"/>
    <n v="0"/>
    <n v="459180957"/>
    <n v="443998188"/>
    <n v="-3.3"/>
    <n v="8.31"/>
    <n v="8.4499999999999993"/>
  </r>
  <r>
    <x v="5"/>
    <x v="1"/>
    <n v="6"/>
    <n v="6"/>
    <n v="0"/>
    <n v="404283335"/>
    <n v="392867289"/>
    <n v="-2.8"/>
    <n v="7.32"/>
    <n v="7.48"/>
  </r>
  <r>
    <x v="5"/>
    <x v="12"/>
    <n v="7"/>
    <n v="7"/>
    <n v="0"/>
    <n v="388664380"/>
    <n v="301864881"/>
    <n v="-22.3"/>
    <n v="7.04"/>
    <n v="5.74"/>
  </r>
  <r>
    <x v="5"/>
    <x v="16"/>
    <n v="8"/>
    <n v="8"/>
    <n v="0"/>
    <n v="325546164"/>
    <n v="276670035"/>
    <n v="-15"/>
    <n v="5.89"/>
    <n v="5.27"/>
  </r>
  <r>
    <x v="5"/>
    <x v="4"/>
    <n v="9"/>
    <n v="9"/>
    <n v="0"/>
    <n v="148851896"/>
    <n v="154426241"/>
    <n v="3.7"/>
    <n v="2.69"/>
    <n v="2.9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n v="1"/>
    <s v="Jan"/>
    <n v="6802519"/>
    <n v="81673573"/>
    <n v="4356363"/>
    <n v="46357078"/>
    <n v="-36"/>
    <n v="-43.2"/>
  </r>
  <r>
    <x v="0"/>
    <n v="2"/>
    <s v="Fev"/>
    <n v="2553119"/>
    <n v="26153783"/>
    <n v="5001047"/>
    <n v="48407992"/>
    <n v="95.9"/>
    <n v="85.1"/>
  </r>
  <r>
    <x v="0"/>
    <n v="3"/>
    <s v="Mar"/>
    <n v="2012978"/>
    <n v="24915795"/>
    <n v="2747751"/>
    <n v="30869776"/>
    <n v="36.5"/>
    <n v="23.9"/>
  </r>
  <r>
    <x v="0"/>
    <n v="4"/>
    <s v="Abr"/>
    <n v="5630532"/>
    <n v="63245603"/>
    <n v="2630782"/>
    <n v="30185368"/>
    <n v="-53.3"/>
    <n v="-52.3"/>
  </r>
  <r>
    <x v="0"/>
    <n v="5"/>
    <s v="Mai"/>
    <n v="5090678"/>
    <n v="60390975"/>
    <n v="2145027"/>
    <n v="20380731"/>
    <n v="-57.9"/>
    <n v="-66.3"/>
  </r>
  <r>
    <x v="1"/>
    <n v="1"/>
    <s v="Jan"/>
    <n v="140857878"/>
    <n v="285825914"/>
    <n v="119073057"/>
    <n v="250810827"/>
    <n v="-15.5"/>
    <n v="-12.3"/>
  </r>
  <r>
    <x v="1"/>
    <n v="2"/>
    <s v="Fev"/>
    <n v="159082566"/>
    <n v="266900464"/>
    <n v="122457067"/>
    <n v="235553342"/>
    <n v="-23"/>
    <n v="-11.7"/>
  </r>
  <r>
    <x v="1"/>
    <n v="3"/>
    <s v="Mar"/>
    <n v="171765775"/>
    <n v="259383537"/>
    <n v="139100860"/>
    <n v="248944897"/>
    <n v="-19"/>
    <n v="-4"/>
  </r>
  <r>
    <x v="1"/>
    <n v="4"/>
    <s v="Abr"/>
    <n v="176527546"/>
    <n v="309525557"/>
    <n v="160218276"/>
    <n v="273468985"/>
    <n v="-9.1999999999999993"/>
    <n v="-11.6"/>
  </r>
  <r>
    <x v="1"/>
    <n v="5"/>
    <s v="Mai"/>
    <n v="174015532"/>
    <n v="297371337"/>
    <n v="162843511"/>
    <n v="271688678"/>
    <n v="-6.4"/>
    <n v="-8.6"/>
  </r>
  <r>
    <x v="2"/>
    <n v="1"/>
    <s v="Jan"/>
    <n v="88409327"/>
    <n v="161435988"/>
    <n v="76067190"/>
    <n v="161458953"/>
    <n v="-14"/>
    <n v="0"/>
  </r>
  <r>
    <x v="2"/>
    <n v="2"/>
    <s v="Fev"/>
    <n v="108344211"/>
    <n v="197005062"/>
    <n v="73307636"/>
    <n v="140538389"/>
    <n v="-32.299999999999997"/>
    <n v="-28.7"/>
  </r>
  <r>
    <x v="2"/>
    <n v="3"/>
    <s v="Mar"/>
    <n v="115417866"/>
    <n v="189244768"/>
    <n v="86588426"/>
    <n v="165586099"/>
    <n v="-25"/>
    <n v="-12.5"/>
  </r>
  <r>
    <x v="2"/>
    <n v="4"/>
    <s v="Abr"/>
    <n v="117798992"/>
    <n v="199464850"/>
    <n v="108110021"/>
    <n v="194911026"/>
    <n v="-8.1999999999999993"/>
    <n v="-2.2999999999999998"/>
  </r>
  <r>
    <x v="2"/>
    <n v="5"/>
    <s v="Mai"/>
    <n v="109506045"/>
    <n v="180650018"/>
    <n v="109759346"/>
    <n v="200975880"/>
    <n v="0.2"/>
    <n v="11.3"/>
  </r>
  <r>
    <x v="3"/>
    <n v="1"/>
    <s v="Jan"/>
    <n v="105213857"/>
    <n v="168407730"/>
    <n v="85578546"/>
    <n v="165701712"/>
    <n v="-18.7"/>
    <n v="-1.6"/>
  </r>
  <r>
    <x v="3"/>
    <n v="2"/>
    <s v="Fev"/>
    <n v="129443304"/>
    <n v="206037297"/>
    <n v="88056257"/>
    <n v="147012439"/>
    <n v="-32"/>
    <n v="-28.6"/>
  </r>
  <r>
    <x v="3"/>
    <n v="3"/>
    <s v="Mar"/>
    <n v="141740284"/>
    <n v="199859478"/>
    <n v="102529397"/>
    <n v="172325443"/>
    <n v="-27.7"/>
    <n v="-13.8"/>
  </r>
  <r>
    <x v="3"/>
    <n v="4"/>
    <s v="Abr"/>
    <n v="140935565"/>
    <n v="208970303"/>
    <n v="127586935"/>
    <n v="203082446"/>
    <n v="-9.5"/>
    <n v="-2.8"/>
  </r>
  <r>
    <x v="3"/>
    <n v="5"/>
    <s v="Mai"/>
    <n v="133974565"/>
    <n v="190506501"/>
    <n v="128634425"/>
    <n v="209292910"/>
    <n v="-4"/>
    <n v="9.9"/>
  </r>
  <r>
    <x v="4"/>
    <n v="1"/>
    <s v="Jan"/>
    <n v="16804530"/>
    <n v="6971742"/>
    <n v="9511356"/>
    <n v="4242759"/>
    <n v="-43.4"/>
    <n v="-39.1"/>
  </r>
  <r>
    <x v="4"/>
    <n v="2"/>
    <s v="Fev"/>
    <n v="21099093"/>
    <n v="9032235"/>
    <n v="14748621"/>
    <n v="6474050"/>
    <n v="-30.1"/>
    <n v="-28.3"/>
  </r>
  <r>
    <x v="4"/>
    <n v="3"/>
    <s v="Mar"/>
    <n v="26322418"/>
    <n v="10614710"/>
    <n v="15940971"/>
    <n v="6739344"/>
    <n v="-39.4"/>
    <n v="-36.5"/>
  </r>
  <r>
    <x v="4"/>
    <n v="4"/>
    <s v="Abr"/>
    <n v="23136573"/>
    <n v="9505453"/>
    <n v="19476914"/>
    <n v="8171420"/>
    <n v="-15.8"/>
    <n v="-14"/>
  </r>
  <r>
    <x v="4"/>
    <n v="5"/>
    <s v="Mai"/>
    <n v="24468520"/>
    <n v="9856483"/>
    <n v="18875079"/>
    <n v="8317030"/>
    <n v="-22.9"/>
    <n v="-15.6"/>
  </r>
  <r>
    <x v="5"/>
    <n v="1"/>
    <s v="Jan"/>
    <n v="28841502"/>
    <n v="35744611"/>
    <n v="29138148"/>
    <n v="38752037"/>
    <n v="1"/>
    <n v="8.4"/>
  </r>
  <r>
    <x v="5"/>
    <n v="2"/>
    <s v="Fev"/>
    <n v="27086143"/>
    <n v="34709384"/>
    <n v="29399763"/>
    <n v="40132911"/>
    <n v="8.5"/>
    <n v="15.6"/>
  </r>
  <r>
    <x v="5"/>
    <n v="3"/>
    <s v="Mar"/>
    <n v="28012513"/>
    <n v="34608264"/>
    <n v="33823712"/>
    <n v="45749678"/>
    <n v="20.7"/>
    <n v="32.200000000000003"/>
  </r>
  <r>
    <x v="5"/>
    <n v="4"/>
    <s v="Abr"/>
    <n v="29961449"/>
    <n v="37309651"/>
    <n v="30000559"/>
    <n v="40201171"/>
    <n v="0.1"/>
    <n v="7.8"/>
  </r>
  <r>
    <x v="5"/>
    <n v="5"/>
    <s v="Mai"/>
    <n v="34950289"/>
    <n v="46473861"/>
    <n v="32064059"/>
    <n v="42015037"/>
    <n v="-8.3000000000000007"/>
    <n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3393BC-0D74-479C-AC8F-750C0DCBBB5F}" name="Tabela dinâmica5" cacheId="2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M4:P11" firstHeaderRow="0" firstDataRow="1" firstDataCol="1"/>
  <pivotFields count="9">
    <pivotField axis="axisRow" showAll="0" sortType="descending">
      <items count="7">
        <item x="0"/>
        <item x="1"/>
        <item x="2"/>
        <item x="3"/>
        <item x="4"/>
        <item x="5"/>
        <item t="default"/>
      </items>
      <autoSortScope>
        <pivotArea dataOnly="0" outline="0" fieldPosition="0">
          <references count="1">
            <reference field="4294967294" count="1" selected="0">
              <x v="1"/>
            </reference>
          </references>
        </pivotArea>
      </autoSortScope>
    </pivotField>
    <pivotField showAll="0"/>
    <pivotField showAll="0"/>
    <pivotField dataField="1" numFmtId="3" showAll="0"/>
    <pivotField numFmtId="3" showAll="0"/>
    <pivotField dataField="1" numFmtId="3" showAll="0"/>
    <pivotField numFmtId="3" showAll="0"/>
    <pivotField showAll="0"/>
    <pivotField dataField="1" showAll="0"/>
  </pivotFields>
  <rowFields count="1">
    <field x="0"/>
  </rowFields>
  <rowItems count="7">
    <i>
      <x v="1"/>
    </i>
    <i>
      <x v="3"/>
    </i>
    <i>
      <x v="2"/>
    </i>
    <i>
      <x v="5"/>
    </i>
    <i>
      <x v="4"/>
    </i>
    <i>
      <x/>
    </i>
    <i t="grand">
      <x/>
    </i>
  </rowItems>
  <colFields count="1">
    <field x="-2"/>
  </colFields>
  <colItems count="3">
    <i>
      <x/>
    </i>
    <i i="1">
      <x v="1"/>
    </i>
    <i i="2">
      <x v="2"/>
    </i>
  </colItems>
  <dataFields count="3">
    <dataField name="Soma de EXP_USD_2025" fld="3" baseField="0" baseItem="0" numFmtId="3"/>
    <dataField name="Soma de EXP_USD_2026" fld="5" baseField="0" baseItem="0" numFmtId="3"/>
    <dataField name="Soma de Var_EXP_Kg_Pc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2102F-455E-41C1-8265-06D334B9AE81}" name="Tabela dinâ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38:I69" firstHeaderRow="0" firstDataRow="1" firstDataCol="1"/>
  <pivotFields count="14">
    <pivotField numFmtId="1" showAll="0"/>
    <pivotField axis="axisRow" showAll="0" sortType="descending">
      <items count="31">
        <item x="18"/>
        <item x="23"/>
        <item x="13"/>
        <item x="7"/>
        <item x="11"/>
        <item x="0"/>
        <item x="26"/>
        <item x="5"/>
        <item x="1"/>
        <item x="19"/>
        <item x="15"/>
        <item x="27"/>
        <item x="2"/>
        <item x="4"/>
        <item x="21"/>
        <item x="28"/>
        <item x="12"/>
        <item x="25"/>
        <item x="29"/>
        <item x="24"/>
        <item x="20"/>
        <item x="8"/>
        <item x="16"/>
        <item x="22"/>
        <item x="3"/>
        <item x="17"/>
        <item x="10"/>
        <item x="14"/>
        <item x="6"/>
        <item x="9"/>
        <item t="default"/>
      </items>
      <autoSortScope>
        <pivotArea dataOnly="0" outline="0" fieldPosition="0">
          <references count="1">
            <reference field="4294967294" count="1" selected="0">
              <x v="1"/>
            </reference>
          </references>
        </pivotArea>
      </autoSortScope>
    </pivotField>
    <pivotField showAll="0"/>
    <pivotField dataField="1" numFmtId="3" showAll="0"/>
    <pivotField dataField="1" numFmtId="3" showAll="0"/>
    <pivotField showAll="0"/>
    <pivotField numFmtId="3" showAll="0"/>
    <pivotField numFmtId="3" showAll="0"/>
    <pivotField showAll="0"/>
    <pivotField showAll="0"/>
    <pivotField numFmtId="3" showAll="0"/>
    <pivotField showAll="0"/>
    <pivotField numFmtId="1" showAll="0"/>
    <pivotField numFmtId="1" showAll="0"/>
  </pivotFields>
  <rowFields count="1">
    <field x="1"/>
  </rowFields>
  <rowItems count="31">
    <i>
      <x v="5"/>
    </i>
    <i>
      <x v="8"/>
    </i>
    <i>
      <x v="12"/>
    </i>
    <i>
      <x v="24"/>
    </i>
    <i>
      <x v="13"/>
    </i>
    <i>
      <x v="7"/>
    </i>
    <i>
      <x v="28"/>
    </i>
    <i>
      <x v="3"/>
    </i>
    <i>
      <x v="21"/>
    </i>
    <i>
      <x v="29"/>
    </i>
    <i>
      <x v="26"/>
    </i>
    <i>
      <x v="4"/>
    </i>
    <i>
      <x v="16"/>
    </i>
    <i>
      <x v="2"/>
    </i>
    <i>
      <x v="27"/>
    </i>
    <i>
      <x v="10"/>
    </i>
    <i>
      <x v="22"/>
    </i>
    <i>
      <x v="25"/>
    </i>
    <i>
      <x/>
    </i>
    <i>
      <x v="9"/>
    </i>
    <i>
      <x v="20"/>
    </i>
    <i>
      <x v="14"/>
    </i>
    <i>
      <x v="23"/>
    </i>
    <i>
      <x v="1"/>
    </i>
    <i>
      <x v="19"/>
    </i>
    <i>
      <x v="17"/>
    </i>
    <i>
      <x v="6"/>
    </i>
    <i>
      <x v="11"/>
    </i>
    <i>
      <x v="15"/>
    </i>
    <i>
      <x v="18"/>
    </i>
    <i t="grand">
      <x/>
    </i>
  </rowItems>
  <colFields count="1">
    <field x="-2"/>
  </colFields>
  <colItems count="2">
    <i>
      <x/>
    </i>
    <i i="1">
      <x v="1"/>
    </i>
  </colItems>
  <dataFields count="2">
    <dataField name="Soma de EXP_USD_2025" fld="3" baseField="0" baseItem="0" numFmtId="3"/>
    <dataField name="Soma de EXP_USD_2026"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A9FCB0-3289-413F-A62D-142DA9EBF4FC}" name="Tabela dinâmica4" cacheId="1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M5:P14" firstHeaderRow="0" firstDataRow="1" firstDataCol="1" rowPageCount="1" colPageCount="1"/>
  <pivotFields count="10">
    <pivotField axis="axisPage" showAll="0">
      <items count="7">
        <item x="0"/>
        <item x="1"/>
        <item x="2"/>
        <item x="3"/>
        <item x="4"/>
        <item x="5"/>
        <item t="default"/>
      </items>
    </pivotField>
    <pivotField axis="axisRow" showAll="0" sortType="descending">
      <items count="18">
        <item x="5"/>
        <item x="13"/>
        <item x="10"/>
        <item x="0"/>
        <item x="12"/>
        <item x="16"/>
        <item x="11"/>
        <item x="8"/>
        <item x="2"/>
        <item x="7"/>
        <item x="3"/>
        <item x="9"/>
        <item x="15"/>
        <item x="14"/>
        <item x="1"/>
        <item x="4"/>
        <item x="6"/>
        <item t="default"/>
      </items>
      <autoSortScope>
        <pivotArea dataOnly="0" outline="0" fieldPosition="0">
          <references count="1">
            <reference field="4294967294" count="1" selected="0">
              <x v="1"/>
            </reference>
          </references>
        </pivotArea>
      </autoSortScope>
    </pivotField>
    <pivotField numFmtId="1" showAll="0"/>
    <pivotField numFmtId="1" showAll="0"/>
    <pivotField showAll="0"/>
    <pivotField dataField="1" numFmtId="3" showAll="0"/>
    <pivotField dataField="1" numFmtId="3" showAll="0"/>
    <pivotField dataField="1" showAll="0"/>
    <pivotField numFmtId="164" showAll="0"/>
    <pivotField numFmtId="164" showAll="0"/>
  </pivotFields>
  <rowFields count="1">
    <field x="1"/>
  </rowFields>
  <rowItems count="9">
    <i>
      <x v="15"/>
    </i>
    <i>
      <x v="11"/>
    </i>
    <i>
      <x v="14"/>
    </i>
    <i>
      <x v="9"/>
    </i>
    <i>
      <x v="16"/>
    </i>
    <i>
      <x v="1"/>
    </i>
    <i>
      <x v="8"/>
    </i>
    <i>
      <x v="13"/>
    </i>
    <i t="grand">
      <x/>
    </i>
  </rowItems>
  <colFields count="1">
    <field x="-2"/>
  </colFields>
  <colItems count="3">
    <i>
      <x/>
    </i>
    <i i="1">
      <x v="1"/>
    </i>
    <i i="2">
      <x v="2"/>
    </i>
  </colItems>
  <pageFields count="1">
    <pageField fld="0" item="3" hier="-1"/>
  </pageFields>
  <dataFields count="3">
    <dataField name="Soma de EXP_USD_2025" fld="5" baseField="0" baseItem="0" numFmtId="3"/>
    <dataField name="Soma de EXP_USD_2026" fld="6" baseField="0" baseItem="0" numFmtId="3"/>
    <dataField name="Soma de Var_EXP_Pc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4A678B-1142-41DF-8DFE-A625A0891134}"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7:L18" firstHeaderRow="0" firstDataRow="1" firstDataCol="1" rowPageCount="1" colPageCount="1"/>
  <pivotFields count="5">
    <pivotField axis="axisPage" showAll="0">
      <items count="4">
        <item x="0"/>
        <item x="1"/>
        <item x="2"/>
        <item t="default"/>
      </items>
    </pivotField>
    <pivotField axis="axisRow" showAll="0" sortType="descending">
      <items count="22">
        <item x="8"/>
        <item x="4"/>
        <item x="13"/>
        <item x="16"/>
        <item x="20"/>
        <item x="7"/>
        <item x="3"/>
        <item x="0"/>
        <item x="9"/>
        <item x="5"/>
        <item x="18"/>
        <item x="12"/>
        <item x="2"/>
        <item x="15"/>
        <item x="10"/>
        <item x="6"/>
        <item x="17"/>
        <item x="1"/>
        <item x="11"/>
        <item x="19"/>
        <item x="14"/>
        <item t="default"/>
      </items>
      <autoSortScope>
        <pivotArea dataOnly="0" outline="0" fieldPosition="0">
          <references count="1">
            <reference field="4294967294" count="1" selected="0">
              <x v="1"/>
            </reference>
          </references>
        </pivotArea>
      </autoSortScope>
    </pivotField>
    <pivotField dataField="1" numFmtId="3" showAll="0"/>
    <pivotField dataField="1" numFmtId="3" showAll="0"/>
    <pivotField dataField="1" showAll="0"/>
  </pivotFields>
  <rowFields count="1">
    <field x="1"/>
  </rowFields>
  <rowItems count="11">
    <i>
      <x v="12"/>
    </i>
    <i>
      <x v="15"/>
    </i>
    <i>
      <x v="14"/>
    </i>
    <i>
      <x v="18"/>
    </i>
    <i>
      <x v="11"/>
    </i>
    <i>
      <x v="2"/>
    </i>
    <i>
      <x v="20"/>
    </i>
    <i>
      <x v="1"/>
    </i>
    <i>
      <x v="13"/>
    </i>
    <i>
      <x v="17"/>
    </i>
    <i t="grand">
      <x/>
    </i>
  </rowItems>
  <colFields count="1">
    <field x="-2"/>
  </colFields>
  <colItems count="3">
    <i>
      <x/>
    </i>
    <i i="1">
      <x v="1"/>
    </i>
    <i i="2">
      <x v="2"/>
    </i>
  </colItems>
  <pageFields count="1">
    <pageField fld="0" item="1" hier="-1"/>
  </pageFields>
  <dataFields count="3">
    <dataField name="Soma de EXP_USD_2025" fld="3" baseField="0" baseItem="0" numFmtId="3"/>
    <dataField name="Soma de EXP_USD_2026" fld="2" baseField="0" baseItem="0" numFmtId="3"/>
    <dataField name="Soma de Var_EXP_USD_Pc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workbookViewId="0"/>
  </sheetViews>
  <sheetFormatPr defaultRowHeight="15" x14ac:dyDescent="0.25"/>
  <cols>
    <col min="1" max="1" width="4.7109375" customWidth="1"/>
    <col min="2" max="2" width="36.7109375" customWidth="1"/>
    <col min="3" max="3" width="70.7109375" customWidth="1"/>
  </cols>
  <sheetData>
    <row r="2" spans="2:3" ht="18.75" x14ac:dyDescent="0.3">
      <c r="B2" s="16" t="s">
        <v>0</v>
      </c>
      <c r="C2" s="16"/>
    </row>
    <row r="3" spans="2:3" x14ac:dyDescent="0.25">
      <c r="B3" s="17" t="s">
        <v>1</v>
      </c>
      <c r="C3" s="17"/>
    </row>
    <row r="4" spans="2:3" x14ac:dyDescent="0.25">
      <c r="B4" s="17" t="s">
        <v>2</v>
      </c>
      <c r="C4" s="17"/>
    </row>
    <row r="6" spans="2:3" x14ac:dyDescent="0.25">
      <c r="B6" s="1" t="s">
        <v>3</v>
      </c>
      <c r="C6" s="1" t="s">
        <v>4</v>
      </c>
    </row>
    <row r="7" spans="2:3" x14ac:dyDescent="0.25">
      <c r="B7" s="2" t="s">
        <v>5</v>
      </c>
      <c r="C7" s="3" t="s">
        <v>6</v>
      </c>
    </row>
    <row r="8" spans="2:3" x14ac:dyDescent="0.25">
      <c r="B8" s="2" t="s">
        <v>7</v>
      </c>
      <c r="C8" s="4" t="s">
        <v>8</v>
      </c>
    </row>
    <row r="9" spans="2:3" x14ac:dyDescent="0.25">
      <c r="B9" s="2" t="s">
        <v>9</v>
      </c>
      <c r="C9" s="3" t="s">
        <v>10</v>
      </c>
    </row>
    <row r="10" spans="2:3" x14ac:dyDescent="0.25">
      <c r="B10" s="2" t="s">
        <v>11</v>
      </c>
      <c r="C10" s="4" t="s">
        <v>12</v>
      </c>
    </row>
    <row r="11" spans="2:3" x14ac:dyDescent="0.25">
      <c r="B11" s="2" t="s">
        <v>13</v>
      </c>
      <c r="C11" s="3" t="s">
        <v>14</v>
      </c>
    </row>
    <row r="12" spans="2:3" x14ac:dyDescent="0.25">
      <c r="B12" s="2" t="s">
        <v>15</v>
      </c>
      <c r="C12" s="4" t="s">
        <v>16</v>
      </c>
    </row>
    <row r="13" spans="2:3" x14ac:dyDescent="0.25">
      <c r="B13" s="2" t="s">
        <v>17</v>
      </c>
      <c r="C13" s="3" t="s">
        <v>18</v>
      </c>
    </row>
    <row r="14" spans="2:3" x14ac:dyDescent="0.25">
      <c r="B14" s="2" t="s">
        <v>19</v>
      </c>
      <c r="C14" s="4" t="s">
        <v>20</v>
      </c>
    </row>
    <row r="15" spans="2:3" x14ac:dyDescent="0.25">
      <c r="B15" s="2" t="s">
        <v>21</v>
      </c>
      <c r="C15" s="3" t="s">
        <v>22</v>
      </c>
    </row>
  </sheetData>
  <mergeCells count="3">
    <mergeCell ref="B2:C2"/>
    <mergeCell ref="B3:C3"/>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
  <sheetViews>
    <sheetView workbookViewId="0">
      <pane xSplit="2" ySplit="2" topLeftCell="C3" activePane="bottomRight" state="frozen"/>
      <selection pane="topRight" activeCell="C1" sqref="C1"/>
      <selection pane="bottomLeft" activeCell="A3" sqref="A3"/>
      <selection pane="bottomRight" sqref="A1:S1"/>
    </sheetView>
  </sheetViews>
  <sheetFormatPr defaultRowHeight="15" x14ac:dyDescent="0.25"/>
  <cols>
    <col min="1" max="1" width="29.7109375" customWidth="1"/>
    <col min="2" max="3" width="15.7109375" customWidth="1"/>
    <col min="4" max="4" width="17.7109375" customWidth="1"/>
    <col min="5" max="5" width="15.7109375" customWidth="1"/>
    <col min="6" max="6" width="19.7109375" customWidth="1"/>
    <col min="7" max="9" width="15.7109375" customWidth="1"/>
    <col min="10" max="10" width="17.7109375" customWidth="1"/>
    <col min="11" max="11" width="15.7109375" customWidth="1"/>
    <col min="12" max="12" width="19.7109375" customWidth="1"/>
    <col min="13" max="13" width="15.7109375" customWidth="1"/>
    <col min="14" max="15" width="18.7109375" customWidth="1"/>
    <col min="16" max="16" width="20.7109375" customWidth="1"/>
    <col min="17" max="17" width="17.7109375" customWidth="1"/>
    <col min="18" max="18" width="21.7109375" customWidth="1"/>
    <col min="19" max="19" width="17.7109375" customWidth="1"/>
  </cols>
  <sheetData>
    <row r="1" spans="1:19" ht="20.100000000000001" customHeight="1" x14ac:dyDescent="0.25">
      <c r="A1" s="18" t="s">
        <v>6</v>
      </c>
      <c r="B1" s="18"/>
      <c r="C1" s="18"/>
      <c r="D1" s="18"/>
      <c r="E1" s="18"/>
      <c r="F1" s="18"/>
      <c r="G1" s="18"/>
      <c r="H1" s="18"/>
      <c r="I1" s="18"/>
      <c r="J1" s="18"/>
      <c r="K1" s="18"/>
      <c r="L1" s="18"/>
      <c r="M1" s="18"/>
      <c r="N1" s="18"/>
      <c r="O1" s="18"/>
      <c r="P1" s="18"/>
      <c r="Q1" s="18"/>
      <c r="R1" s="18"/>
      <c r="S1" s="18"/>
    </row>
    <row r="2" spans="1:19" ht="39.950000000000003" customHeight="1" x14ac:dyDescent="0.25">
      <c r="A2" s="5" t="s">
        <v>23</v>
      </c>
      <c r="B2" s="5" t="s">
        <v>24</v>
      </c>
      <c r="C2" s="5" t="s">
        <v>25</v>
      </c>
      <c r="D2" s="5" t="s">
        <v>26</v>
      </c>
      <c r="E2" s="5" t="s">
        <v>27</v>
      </c>
      <c r="F2" s="5" t="s">
        <v>28</v>
      </c>
      <c r="G2" s="5" t="s">
        <v>29</v>
      </c>
      <c r="H2" s="5" t="s">
        <v>30</v>
      </c>
      <c r="I2" s="5" t="s">
        <v>31</v>
      </c>
      <c r="J2" s="5" t="s">
        <v>32</v>
      </c>
      <c r="K2" s="5" t="s">
        <v>33</v>
      </c>
      <c r="L2" s="5" t="s">
        <v>34</v>
      </c>
      <c r="M2" s="5" t="s">
        <v>35</v>
      </c>
      <c r="N2" s="5" t="s">
        <v>36</v>
      </c>
      <c r="O2" s="5" t="s">
        <v>37</v>
      </c>
      <c r="P2" s="5" t="s">
        <v>38</v>
      </c>
      <c r="Q2" s="5" t="s">
        <v>39</v>
      </c>
      <c r="R2" s="5" t="s">
        <v>40</v>
      </c>
      <c r="S2" s="5" t="s">
        <v>41</v>
      </c>
    </row>
    <row r="3" spans="1:19" x14ac:dyDescent="0.25">
      <c r="A3" s="6" t="s">
        <v>42</v>
      </c>
      <c r="B3" s="7">
        <v>539476441</v>
      </c>
      <c r="C3" s="7">
        <v>19600565</v>
      </c>
      <c r="D3" s="7">
        <v>519875876</v>
      </c>
      <c r="E3" s="7">
        <v>927800686</v>
      </c>
      <c r="F3" s="8">
        <v>107</v>
      </c>
      <c r="G3" s="8">
        <v>62</v>
      </c>
      <c r="H3" s="7">
        <v>453832619</v>
      </c>
      <c r="I3" s="7">
        <v>22497758</v>
      </c>
      <c r="J3" s="7">
        <v>431334861</v>
      </c>
      <c r="K3" s="7">
        <v>863470347</v>
      </c>
      <c r="L3" s="8">
        <v>121</v>
      </c>
      <c r="M3" s="8">
        <v>62</v>
      </c>
      <c r="N3" s="9">
        <v>-15.9</v>
      </c>
      <c r="O3" s="10">
        <v>14.8</v>
      </c>
      <c r="P3" s="9">
        <v>-17</v>
      </c>
      <c r="Q3" s="9">
        <v>-6.9</v>
      </c>
      <c r="R3" s="11">
        <v>14</v>
      </c>
      <c r="S3" s="11">
        <v>0</v>
      </c>
    </row>
    <row r="4" spans="1:19" x14ac:dyDescent="0.25">
      <c r="A4" s="12" t="s">
        <v>43</v>
      </c>
      <c r="B4" s="13">
        <v>111831134</v>
      </c>
      <c r="C4" s="13">
        <v>60542969</v>
      </c>
      <c r="D4" s="13">
        <v>51288165</v>
      </c>
      <c r="E4" s="13">
        <v>45980623</v>
      </c>
      <c r="F4" s="14">
        <v>73</v>
      </c>
      <c r="G4" s="14">
        <v>21</v>
      </c>
      <c r="H4" s="13">
        <v>78552941</v>
      </c>
      <c r="I4" s="13">
        <v>78568918</v>
      </c>
      <c r="J4" s="13">
        <v>-15977</v>
      </c>
      <c r="K4" s="13">
        <v>33944603</v>
      </c>
      <c r="L4" s="14">
        <v>80</v>
      </c>
      <c r="M4" s="14">
        <v>20</v>
      </c>
      <c r="N4" s="9">
        <v>-29.8</v>
      </c>
      <c r="O4" s="10">
        <v>29.8</v>
      </c>
      <c r="P4" s="9">
        <v>-100</v>
      </c>
      <c r="Q4" s="9">
        <v>-26.2</v>
      </c>
      <c r="R4" s="15">
        <v>7</v>
      </c>
      <c r="S4" s="15">
        <v>-1</v>
      </c>
    </row>
    <row r="5" spans="1:19" x14ac:dyDescent="0.25">
      <c r="A5" s="6" t="s">
        <v>44</v>
      </c>
      <c r="B5" s="7">
        <v>651307575</v>
      </c>
      <c r="C5" s="7">
        <v>80143534</v>
      </c>
      <c r="D5" s="7">
        <v>571164041</v>
      </c>
      <c r="E5" s="7">
        <v>973781309</v>
      </c>
      <c r="F5" s="8">
        <v>123</v>
      </c>
      <c r="G5" s="8">
        <v>83</v>
      </c>
      <c r="H5" s="7">
        <v>532385560</v>
      </c>
      <c r="I5" s="7">
        <v>101066676</v>
      </c>
      <c r="J5" s="7">
        <v>431318884</v>
      </c>
      <c r="K5" s="7">
        <v>897414950</v>
      </c>
      <c r="L5" s="8">
        <v>134</v>
      </c>
      <c r="M5" s="8">
        <v>82</v>
      </c>
      <c r="N5" s="9">
        <v>-18.3</v>
      </c>
      <c r="O5" s="10">
        <v>26.1</v>
      </c>
      <c r="P5" s="9">
        <v>-24.5</v>
      </c>
      <c r="Q5" s="9">
        <v>-7.8</v>
      </c>
      <c r="R5" s="11">
        <v>11</v>
      </c>
      <c r="S5" s="11">
        <v>-1</v>
      </c>
    </row>
    <row r="6" spans="1:19" x14ac:dyDescent="0.25">
      <c r="A6" s="12" t="s">
        <v>45</v>
      </c>
      <c r="B6" s="13">
        <v>148851896</v>
      </c>
      <c r="C6" s="13">
        <v>85069570</v>
      </c>
      <c r="D6" s="13">
        <v>63782326</v>
      </c>
      <c r="E6" s="13">
        <v>188845771</v>
      </c>
      <c r="F6" s="14">
        <v>86</v>
      </c>
      <c r="G6" s="14">
        <v>80</v>
      </c>
      <c r="H6" s="13">
        <v>154426241</v>
      </c>
      <c r="I6" s="13">
        <v>87849612</v>
      </c>
      <c r="J6" s="13">
        <v>66576629</v>
      </c>
      <c r="K6" s="13">
        <v>206850834</v>
      </c>
      <c r="L6" s="14">
        <v>88</v>
      </c>
      <c r="M6" s="14">
        <v>78</v>
      </c>
      <c r="N6" s="10">
        <v>3.7</v>
      </c>
      <c r="O6" s="10">
        <v>3.3</v>
      </c>
      <c r="P6" s="10">
        <v>4.4000000000000004</v>
      </c>
      <c r="Q6" s="10">
        <v>9.5</v>
      </c>
      <c r="R6" s="15">
        <v>2</v>
      </c>
      <c r="S6" s="15">
        <v>-2</v>
      </c>
    </row>
    <row r="7" spans="1:19" x14ac:dyDescent="0.25">
      <c r="A7" s="6" t="s">
        <v>46</v>
      </c>
      <c r="B7" s="7">
        <v>22089826</v>
      </c>
      <c r="C7" s="7">
        <v>10450700</v>
      </c>
      <c r="D7" s="7">
        <v>11639126</v>
      </c>
      <c r="E7" s="7">
        <v>256379729</v>
      </c>
      <c r="F7" s="8">
        <v>31</v>
      </c>
      <c r="G7" s="8">
        <v>4</v>
      </c>
      <c r="H7" s="7">
        <v>16880970</v>
      </c>
      <c r="I7" s="7">
        <v>7465457</v>
      </c>
      <c r="J7" s="7">
        <v>9415513</v>
      </c>
      <c r="K7" s="7">
        <v>176200945</v>
      </c>
      <c r="L7" s="8">
        <v>39</v>
      </c>
      <c r="M7" s="8">
        <v>5</v>
      </c>
      <c r="N7" s="9">
        <v>-23.6</v>
      </c>
      <c r="O7" s="9">
        <v>-28.6</v>
      </c>
      <c r="P7" s="9">
        <v>-19.100000000000001</v>
      </c>
      <c r="Q7" s="9">
        <v>-31.3</v>
      </c>
      <c r="R7" s="11">
        <v>8</v>
      </c>
      <c r="S7" s="11">
        <v>1</v>
      </c>
    </row>
    <row r="8" spans="1:19" x14ac:dyDescent="0.25">
      <c r="A8" s="12" t="s">
        <v>47</v>
      </c>
      <c r="B8" s="13">
        <v>822249297</v>
      </c>
      <c r="C8" s="13">
        <v>175663904</v>
      </c>
      <c r="D8" s="13">
        <v>646585393</v>
      </c>
      <c r="E8" s="13">
        <v>1419006809</v>
      </c>
      <c r="F8" s="14">
        <v>138</v>
      </c>
      <c r="G8" s="14">
        <v>167</v>
      </c>
      <c r="H8" s="13">
        <v>703692771</v>
      </c>
      <c r="I8" s="13">
        <v>196480205</v>
      </c>
      <c r="J8" s="13">
        <v>507212566</v>
      </c>
      <c r="K8" s="13">
        <v>1280466729</v>
      </c>
      <c r="L8" s="14">
        <v>146</v>
      </c>
      <c r="M8" s="14">
        <v>165</v>
      </c>
      <c r="N8" s="9">
        <v>-14.4</v>
      </c>
      <c r="O8" s="10">
        <v>11.9</v>
      </c>
      <c r="P8" s="9">
        <v>-21.6</v>
      </c>
      <c r="Q8" s="9">
        <v>-9.8000000000000007</v>
      </c>
      <c r="R8" s="15">
        <v>8</v>
      </c>
      <c r="S8" s="15">
        <v>-2</v>
      </c>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workbookViewId="0">
      <pane xSplit="1" ySplit="2" topLeftCell="B3" activePane="bottomRight" state="frozen"/>
      <selection pane="topRight" activeCell="B1" sqref="B1"/>
      <selection pane="bottomLeft" activeCell="A3" sqref="A3"/>
      <selection pane="bottomRight" activeCell="G10" sqref="G10"/>
    </sheetView>
  </sheetViews>
  <sheetFormatPr defaultRowHeight="15" x14ac:dyDescent="0.25"/>
  <cols>
    <col min="1" max="1" width="16.7109375" customWidth="1"/>
    <col min="2" max="3" width="15.7109375" customWidth="1"/>
    <col min="4" max="4" width="18.7109375" customWidth="1"/>
    <col min="5" max="6" width="15.7109375" customWidth="1"/>
    <col min="7" max="7" width="18.7109375" customWidth="1"/>
    <col min="8" max="9" width="15.7109375" customWidth="1"/>
    <col min="10" max="10" width="17.7109375" customWidth="1"/>
  </cols>
  <sheetData>
    <row r="1" spans="1:10" ht="20.100000000000001" customHeight="1" x14ac:dyDescent="0.25">
      <c r="A1" s="18" t="s">
        <v>8</v>
      </c>
      <c r="B1" s="18"/>
      <c r="C1" s="18"/>
      <c r="D1" s="18"/>
      <c r="E1" s="18"/>
      <c r="F1" s="18"/>
      <c r="G1" s="18"/>
      <c r="H1" s="18"/>
      <c r="I1" s="18"/>
      <c r="J1" s="18"/>
    </row>
    <row r="2" spans="1:10" ht="39.950000000000003" customHeight="1" x14ac:dyDescent="0.25">
      <c r="A2" s="5" t="s">
        <v>48</v>
      </c>
      <c r="B2" s="5" t="s">
        <v>24</v>
      </c>
      <c r="C2" s="5" t="s">
        <v>30</v>
      </c>
      <c r="D2" s="5" t="s">
        <v>36</v>
      </c>
      <c r="E2" s="5" t="s">
        <v>25</v>
      </c>
      <c r="F2" s="5" t="s">
        <v>31</v>
      </c>
      <c r="G2" s="5" t="s">
        <v>37</v>
      </c>
      <c r="H2" s="5" t="s">
        <v>27</v>
      </c>
      <c r="I2" s="5" t="s">
        <v>33</v>
      </c>
      <c r="J2" s="5" t="s">
        <v>39</v>
      </c>
    </row>
    <row r="3" spans="1:10" x14ac:dyDescent="0.25">
      <c r="A3" s="6" t="s">
        <v>49</v>
      </c>
      <c r="B3" s="7">
        <v>140857878</v>
      </c>
      <c r="C3" s="7">
        <v>119073057</v>
      </c>
      <c r="D3" s="9">
        <v>-15.5</v>
      </c>
      <c r="E3" s="7">
        <v>42778420</v>
      </c>
      <c r="F3" s="7">
        <v>36922234</v>
      </c>
      <c r="G3" s="9">
        <v>-13.7</v>
      </c>
      <c r="H3" s="7">
        <v>285825914</v>
      </c>
      <c r="I3" s="7">
        <v>250810827</v>
      </c>
      <c r="J3" s="9">
        <v>-12.3</v>
      </c>
    </row>
    <row r="4" spans="1:10" x14ac:dyDescent="0.25">
      <c r="A4" s="12" t="s">
        <v>50</v>
      </c>
      <c r="B4" s="13">
        <v>159082566</v>
      </c>
      <c r="C4" s="13">
        <v>122457067</v>
      </c>
      <c r="D4" s="9">
        <v>-23</v>
      </c>
      <c r="E4" s="13">
        <v>38657229</v>
      </c>
      <c r="F4" s="13">
        <v>35455247</v>
      </c>
      <c r="G4" s="9">
        <v>-8.3000000000000007</v>
      </c>
      <c r="H4" s="13">
        <v>266900464</v>
      </c>
      <c r="I4" s="13">
        <v>235553342</v>
      </c>
      <c r="J4" s="9">
        <v>-11.7</v>
      </c>
    </row>
    <row r="5" spans="1:10" x14ac:dyDescent="0.25">
      <c r="A5" s="6" t="s">
        <v>51</v>
      </c>
      <c r="B5" s="7">
        <v>171765775</v>
      </c>
      <c r="C5" s="7">
        <v>139100860</v>
      </c>
      <c r="D5" s="9">
        <v>-19</v>
      </c>
      <c r="E5" s="7">
        <v>34547787</v>
      </c>
      <c r="F5" s="7">
        <v>44785346</v>
      </c>
      <c r="G5" s="10">
        <v>29.6</v>
      </c>
      <c r="H5" s="7">
        <v>259383537</v>
      </c>
      <c r="I5" s="7">
        <v>248944897</v>
      </c>
      <c r="J5" s="9">
        <v>-4</v>
      </c>
    </row>
    <row r="6" spans="1:10" x14ac:dyDescent="0.25">
      <c r="A6" s="12" t="s">
        <v>52</v>
      </c>
      <c r="B6" s="13">
        <v>176527546</v>
      </c>
      <c r="C6" s="13">
        <v>160218276</v>
      </c>
      <c r="D6" s="9">
        <v>-9.1999999999999993</v>
      </c>
      <c r="E6" s="13">
        <v>30847848</v>
      </c>
      <c r="F6" s="13">
        <v>43005042</v>
      </c>
      <c r="G6" s="10">
        <v>39.4</v>
      </c>
      <c r="H6" s="13">
        <v>309525557</v>
      </c>
      <c r="I6" s="13">
        <v>273468985</v>
      </c>
      <c r="J6" s="9">
        <v>-11.6</v>
      </c>
    </row>
    <row r="7" spans="1:10" x14ac:dyDescent="0.25">
      <c r="A7" s="6" t="s">
        <v>53</v>
      </c>
      <c r="B7" s="7">
        <v>174015532</v>
      </c>
      <c r="C7" s="7">
        <v>162843511</v>
      </c>
      <c r="D7" s="9">
        <v>-6.4</v>
      </c>
      <c r="E7" s="7">
        <v>28832620</v>
      </c>
      <c r="F7" s="7">
        <v>36312336</v>
      </c>
      <c r="G7" s="10">
        <v>25.9</v>
      </c>
      <c r="H7" s="7">
        <v>297371337</v>
      </c>
      <c r="I7" s="7">
        <v>271688678</v>
      </c>
      <c r="J7" s="9">
        <v>-8.6</v>
      </c>
    </row>
    <row r="8" spans="1:10" x14ac:dyDescent="0.25">
      <c r="A8" s="12" t="s">
        <v>54</v>
      </c>
      <c r="B8" s="13">
        <v>822249297</v>
      </c>
      <c r="C8" s="13">
        <v>703692771</v>
      </c>
      <c r="D8" s="9">
        <v>-14.4</v>
      </c>
      <c r="E8" s="13">
        <v>175663904</v>
      </c>
      <c r="F8" s="13">
        <v>196480205</v>
      </c>
      <c r="G8" s="10">
        <v>11.9</v>
      </c>
      <c r="H8" s="13">
        <v>1419006809</v>
      </c>
      <c r="I8" s="13">
        <v>1280466729</v>
      </c>
      <c r="J8" s="9">
        <v>-9.8000000000000007</v>
      </c>
    </row>
    <row r="15" spans="1:10" x14ac:dyDescent="0.25">
      <c r="D15" t="s">
        <v>165</v>
      </c>
    </row>
    <row r="16" spans="1:10" x14ac:dyDescent="0.25">
      <c r="C16" t="s">
        <v>168</v>
      </c>
      <c r="D16">
        <v>2025</v>
      </c>
      <c r="E16">
        <v>2026</v>
      </c>
      <c r="F16" t="s">
        <v>167</v>
      </c>
    </row>
    <row r="17" spans="3:6" x14ac:dyDescent="0.25">
      <c r="C17" t="s">
        <v>49</v>
      </c>
      <c r="D17" s="20">
        <v>140857878</v>
      </c>
      <c r="E17" s="20">
        <v>119073057</v>
      </c>
      <c r="F17">
        <v>-15.5</v>
      </c>
    </row>
    <row r="18" spans="3:6" x14ac:dyDescent="0.25">
      <c r="C18" t="s">
        <v>50</v>
      </c>
      <c r="D18" s="20">
        <v>159082566</v>
      </c>
      <c r="E18" s="20">
        <v>122457067</v>
      </c>
      <c r="F18">
        <v>-23</v>
      </c>
    </row>
    <row r="19" spans="3:6" x14ac:dyDescent="0.25">
      <c r="C19" t="s">
        <v>51</v>
      </c>
      <c r="D19" s="20">
        <v>171765775</v>
      </c>
      <c r="E19" s="20">
        <v>139100860</v>
      </c>
      <c r="F19">
        <v>-19</v>
      </c>
    </row>
    <row r="20" spans="3:6" x14ac:dyDescent="0.25">
      <c r="C20" t="s">
        <v>52</v>
      </c>
      <c r="D20" s="20">
        <v>176527546</v>
      </c>
      <c r="E20" s="20">
        <v>160218276</v>
      </c>
      <c r="F20">
        <v>-9.1999999999999993</v>
      </c>
    </row>
    <row r="21" spans="3:6" x14ac:dyDescent="0.25">
      <c r="C21" t="s">
        <v>53</v>
      </c>
      <c r="D21" s="20">
        <v>174015532</v>
      </c>
      <c r="E21" s="20">
        <v>162843511</v>
      </c>
      <c r="F21">
        <v>-6.4</v>
      </c>
    </row>
    <row r="22" spans="3:6" x14ac:dyDescent="0.25">
      <c r="C22" t="s">
        <v>164</v>
      </c>
      <c r="D22" s="20">
        <v>822249297</v>
      </c>
      <c r="E22" s="20">
        <v>703692771</v>
      </c>
      <c r="F22">
        <v>-14.4</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2"/>
  <sheetViews>
    <sheetView workbookViewId="0">
      <pane xSplit="2" ySplit="2" topLeftCell="H3" activePane="bottomRight" state="frozen"/>
      <selection pane="topRight" activeCell="C1" sqref="C1"/>
      <selection pane="bottomLeft" activeCell="A3" sqref="A3"/>
      <selection pane="bottomRight" activeCell="P5" sqref="P5"/>
    </sheetView>
  </sheetViews>
  <sheetFormatPr defaultRowHeight="15" x14ac:dyDescent="0.25"/>
  <cols>
    <col min="1" max="1" width="29.7109375" customWidth="1"/>
    <col min="2" max="2" width="6.7109375" customWidth="1"/>
    <col min="3" max="3" width="11.7109375" customWidth="1"/>
    <col min="4" max="4" width="15.7109375" customWidth="1"/>
    <col min="5" max="5" width="14.7109375" customWidth="1"/>
    <col min="6" max="6" width="15.7109375" customWidth="1"/>
    <col min="7" max="7" width="14.7109375" customWidth="1"/>
    <col min="8" max="8" width="18.7109375" customWidth="1"/>
    <col min="9" max="9" width="17.7109375" customWidth="1"/>
    <col min="13" max="13" width="25.28515625" bestFit="1" customWidth="1"/>
    <col min="14" max="15" width="22.42578125" bestFit="1" customWidth="1"/>
    <col min="16" max="16" width="23.5703125" bestFit="1" customWidth="1"/>
  </cols>
  <sheetData>
    <row r="1" spans="1:16" ht="20.100000000000001" customHeight="1" x14ac:dyDescent="0.25">
      <c r="A1" s="18" t="s">
        <v>10</v>
      </c>
      <c r="B1" s="18"/>
      <c r="C1" s="18"/>
      <c r="D1" s="18"/>
      <c r="E1" s="18"/>
      <c r="F1" s="18"/>
      <c r="G1" s="18"/>
      <c r="H1" s="18"/>
      <c r="I1" s="18"/>
    </row>
    <row r="2" spans="1:16" ht="39.950000000000003" customHeight="1" x14ac:dyDescent="0.25">
      <c r="A2" s="5" t="s">
        <v>23</v>
      </c>
      <c r="B2" s="5" t="s">
        <v>55</v>
      </c>
      <c r="C2" s="5" t="s">
        <v>48</v>
      </c>
      <c r="D2" s="5" t="s">
        <v>24</v>
      </c>
      <c r="E2" s="5" t="s">
        <v>27</v>
      </c>
      <c r="F2" s="5" t="s">
        <v>30</v>
      </c>
      <c r="G2" s="5" t="s">
        <v>33</v>
      </c>
      <c r="H2" s="5" t="s">
        <v>36</v>
      </c>
      <c r="I2" s="5" t="s">
        <v>39</v>
      </c>
    </row>
    <row r="3" spans="1:16" x14ac:dyDescent="0.25">
      <c r="A3" s="6" t="s">
        <v>46</v>
      </c>
      <c r="B3" s="6">
        <v>1</v>
      </c>
      <c r="C3" s="6" t="s">
        <v>49</v>
      </c>
      <c r="D3" s="7">
        <v>6802519</v>
      </c>
      <c r="E3" s="7">
        <v>81673573</v>
      </c>
      <c r="F3" s="7">
        <v>4356363</v>
      </c>
      <c r="G3" s="7">
        <v>46357078</v>
      </c>
      <c r="H3" s="9">
        <v>-36</v>
      </c>
      <c r="I3" s="9">
        <v>-43.2</v>
      </c>
    </row>
    <row r="4" spans="1:16" x14ac:dyDescent="0.25">
      <c r="A4" s="12" t="s">
        <v>46</v>
      </c>
      <c r="B4" s="12">
        <v>2</v>
      </c>
      <c r="C4" s="12" t="s">
        <v>50</v>
      </c>
      <c r="D4" s="13">
        <v>2553119</v>
      </c>
      <c r="E4" s="13">
        <v>26153783</v>
      </c>
      <c r="F4" s="13">
        <v>5001047</v>
      </c>
      <c r="G4" s="13">
        <v>48407992</v>
      </c>
      <c r="H4" s="10">
        <v>95.9</v>
      </c>
      <c r="I4" s="10">
        <v>85.1</v>
      </c>
      <c r="M4" s="21" t="s">
        <v>169</v>
      </c>
      <c r="N4" t="s">
        <v>172</v>
      </c>
      <c r="O4" t="s">
        <v>171</v>
      </c>
      <c r="P4" t="s">
        <v>175</v>
      </c>
    </row>
    <row r="5" spans="1:16" x14ac:dyDescent="0.25">
      <c r="A5" s="6" t="s">
        <v>46</v>
      </c>
      <c r="B5" s="6">
        <v>3</v>
      </c>
      <c r="C5" s="6" t="s">
        <v>51</v>
      </c>
      <c r="D5" s="7">
        <v>2012978</v>
      </c>
      <c r="E5" s="7">
        <v>24915795</v>
      </c>
      <c r="F5" s="7">
        <v>2747751</v>
      </c>
      <c r="G5" s="7">
        <v>30869776</v>
      </c>
      <c r="H5" s="10">
        <v>36.5</v>
      </c>
      <c r="I5" s="10">
        <v>23.9</v>
      </c>
      <c r="M5" s="22" t="s">
        <v>47</v>
      </c>
      <c r="N5" s="23">
        <v>822249297</v>
      </c>
      <c r="O5" s="23">
        <v>703692771</v>
      </c>
      <c r="P5" s="24">
        <v>-48.2</v>
      </c>
    </row>
    <row r="6" spans="1:16" x14ac:dyDescent="0.25">
      <c r="A6" s="12" t="s">
        <v>46</v>
      </c>
      <c r="B6" s="12">
        <v>4</v>
      </c>
      <c r="C6" s="12" t="s">
        <v>52</v>
      </c>
      <c r="D6" s="13">
        <v>5630532</v>
      </c>
      <c r="E6" s="13">
        <v>63245603</v>
      </c>
      <c r="F6" s="13">
        <v>2630782</v>
      </c>
      <c r="G6" s="13">
        <v>30185368</v>
      </c>
      <c r="H6" s="9">
        <v>-53.3</v>
      </c>
      <c r="I6" s="9">
        <v>-52.3</v>
      </c>
      <c r="M6" s="22" t="s">
        <v>44</v>
      </c>
      <c r="N6" s="23">
        <v>651307575</v>
      </c>
      <c r="O6" s="23">
        <v>532385560</v>
      </c>
      <c r="P6" s="24">
        <v>-36.9</v>
      </c>
    </row>
    <row r="7" spans="1:16" x14ac:dyDescent="0.25">
      <c r="A7" s="6" t="s">
        <v>46</v>
      </c>
      <c r="B7" s="6">
        <v>5</v>
      </c>
      <c r="C7" s="6" t="s">
        <v>53</v>
      </c>
      <c r="D7" s="7">
        <v>5090678</v>
      </c>
      <c r="E7" s="7">
        <v>60390975</v>
      </c>
      <c r="F7" s="7">
        <v>2145027</v>
      </c>
      <c r="G7" s="7">
        <v>20380731</v>
      </c>
      <c r="H7" s="9">
        <v>-57.9</v>
      </c>
      <c r="I7" s="9">
        <v>-66.3</v>
      </c>
      <c r="M7" s="22" t="s">
        <v>42</v>
      </c>
      <c r="N7" s="23">
        <v>539476441</v>
      </c>
      <c r="O7" s="23">
        <v>453832619</v>
      </c>
      <c r="P7" s="24">
        <v>-32.200000000000003</v>
      </c>
    </row>
    <row r="8" spans="1:16" x14ac:dyDescent="0.25">
      <c r="A8" s="12" t="s">
        <v>47</v>
      </c>
      <c r="B8" s="12">
        <v>1</v>
      </c>
      <c r="C8" s="12" t="s">
        <v>49</v>
      </c>
      <c r="D8" s="13">
        <v>140857878</v>
      </c>
      <c r="E8" s="13">
        <v>285825914</v>
      </c>
      <c r="F8" s="13">
        <v>119073057</v>
      </c>
      <c r="G8" s="13">
        <v>250810827</v>
      </c>
      <c r="H8" s="9">
        <v>-15.5</v>
      </c>
      <c r="I8" s="9">
        <v>-12.3</v>
      </c>
      <c r="M8" s="22" t="s">
        <v>45</v>
      </c>
      <c r="N8" s="23">
        <v>148851896</v>
      </c>
      <c r="O8" s="23">
        <v>154426241</v>
      </c>
      <c r="P8" s="24">
        <v>54.4</v>
      </c>
    </row>
    <row r="9" spans="1:16" x14ac:dyDescent="0.25">
      <c r="A9" s="6" t="s">
        <v>47</v>
      </c>
      <c r="B9" s="6">
        <v>2</v>
      </c>
      <c r="C9" s="6" t="s">
        <v>50</v>
      </c>
      <c r="D9" s="7">
        <v>159082566</v>
      </c>
      <c r="E9" s="7">
        <v>266900464</v>
      </c>
      <c r="F9" s="7">
        <v>122457067</v>
      </c>
      <c r="G9" s="7">
        <v>235553342</v>
      </c>
      <c r="H9" s="9">
        <v>-23</v>
      </c>
      <c r="I9" s="9">
        <v>-11.7</v>
      </c>
      <c r="M9" s="22" t="s">
        <v>43</v>
      </c>
      <c r="N9" s="23">
        <v>111831134</v>
      </c>
      <c r="O9" s="23">
        <v>78552941</v>
      </c>
      <c r="P9" s="24">
        <v>-133.5</v>
      </c>
    </row>
    <row r="10" spans="1:16" x14ac:dyDescent="0.25">
      <c r="A10" s="12" t="s">
        <v>47</v>
      </c>
      <c r="B10" s="12">
        <v>3</v>
      </c>
      <c r="C10" s="12" t="s">
        <v>51</v>
      </c>
      <c r="D10" s="13">
        <v>171765775</v>
      </c>
      <c r="E10" s="13">
        <v>259383537</v>
      </c>
      <c r="F10" s="13">
        <v>139100860</v>
      </c>
      <c r="G10" s="13">
        <v>248944897</v>
      </c>
      <c r="H10" s="9">
        <v>-19</v>
      </c>
      <c r="I10" s="9">
        <v>-4</v>
      </c>
      <c r="M10" s="22" t="s">
        <v>46</v>
      </c>
      <c r="N10" s="23">
        <v>22089826</v>
      </c>
      <c r="O10" s="23">
        <v>16880970</v>
      </c>
      <c r="P10" s="24">
        <v>-52.800000000000011</v>
      </c>
    </row>
    <row r="11" spans="1:16" x14ac:dyDescent="0.25">
      <c r="A11" s="6" t="s">
        <v>47</v>
      </c>
      <c r="B11" s="6">
        <v>4</v>
      </c>
      <c r="C11" s="6" t="s">
        <v>52</v>
      </c>
      <c r="D11" s="7">
        <v>176527546</v>
      </c>
      <c r="E11" s="7">
        <v>309525557</v>
      </c>
      <c r="F11" s="7">
        <v>160218276</v>
      </c>
      <c r="G11" s="7">
        <v>273468985</v>
      </c>
      <c r="H11" s="9">
        <v>-9.1999999999999993</v>
      </c>
      <c r="I11" s="9">
        <v>-11.6</v>
      </c>
      <c r="M11" s="22" t="s">
        <v>170</v>
      </c>
      <c r="N11" s="23">
        <v>2295806169</v>
      </c>
      <c r="O11" s="23">
        <v>1939771102</v>
      </c>
      <c r="P11" s="24">
        <v>-249.20000000000002</v>
      </c>
    </row>
    <row r="12" spans="1:16" x14ac:dyDescent="0.25">
      <c r="A12" s="12" t="s">
        <v>47</v>
      </c>
      <c r="B12" s="12">
        <v>5</v>
      </c>
      <c r="C12" s="12" t="s">
        <v>53</v>
      </c>
      <c r="D12" s="13">
        <v>174015532</v>
      </c>
      <c r="E12" s="13">
        <v>297371337</v>
      </c>
      <c r="F12" s="13">
        <v>162843511</v>
      </c>
      <c r="G12" s="13">
        <v>271688678</v>
      </c>
      <c r="H12" s="9">
        <v>-6.4</v>
      </c>
      <c r="I12" s="9">
        <v>-8.6</v>
      </c>
    </row>
    <row r="13" spans="1:16" x14ac:dyDescent="0.25">
      <c r="A13" s="6" t="s">
        <v>42</v>
      </c>
      <c r="B13" s="6">
        <v>1</v>
      </c>
      <c r="C13" s="6" t="s">
        <v>49</v>
      </c>
      <c r="D13" s="7">
        <v>88409327</v>
      </c>
      <c r="E13" s="7">
        <v>161435988</v>
      </c>
      <c r="F13" s="7">
        <v>76067190</v>
      </c>
      <c r="G13" s="7">
        <v>161458953</v>
      </c>
      <c r="H13" s="9">
        <v>-14</v>
      </c>
      <c r="I13" s="15">
        <v>0</v>
      </c>
    </row>
    <row r="14" spans="1:16" x14ac:dyDescent="0.25">
      <c r="A14" s="12" t="s">
        <v>42</v>
      </c>
      <c r="B14" s="12">
        <v>2</v>
      </c>
      <c r="C14" s="12" t="s">
        <v>50</v>
      </c>
      <c r="D14" s="13">
        <v>108344211</v>
      </c>
      <c r="E14" s="13">
        <v>197005062</v>
      </c>
      <c r="F14" s="13">
        <v>73307636</v>
      </c>
      <c r="G14" s="13">
        <v>140538389</v>
      </c>
      <c r="H14" s="9">
        <v>-32.299999999999997</v>
      </c>
      <c r="I14" s="9">
        <v>-28.7</v>
      </c>
    </row>
    <row r="15" spans="1:16" x14ac:dyDescent="0.25">
      <c r="A15" s="6" t="s">
        <v>42</v>
      </c>
      <c r="B15" s="6">
        <v>3</v>
      </c>
      <c r="C15" s="6" t="s">
        <v>51</v>
      </c>
      <c r="D15" s="7">
        <v>115417866</v>
      </c>
      <c r="E15" s="7">
        <v>189244768</v>
      </c>
      <c r="F15" s="7">
        <v>86588426</v>
      </c>
      <c r="G15" s="7">
        <v>165586099</v>
      </c>
      <c r="H15" s="9">
        <v>-25</v>
      </c>
      <c r="I15" s="9">
        <v>-12.5</v>
      </c>
    </row>
    <row r="16" spans="1:16" x14ac:dyDescent="0.25">
      <c r="A16" s="12" t="s">
        <v>42</v>
      </c>
      <c r="B16" s="12">
        <v>4</v>
      </c>
      <c r="C16" s="12" t="s">
        <v>52</v>
      </c>
      <c r="D16" s="13">
        <v>117798992</v>
      </c>
      <c r="E16" s="13">
        <v>199464850</v>
      </c>
      <c r="F16" s="13">
        <v>108110021</v>
      </c>
      <c r="G16" s="13">
        <v>194911026</v>
      </c>
      <c r="H16" s="9">
        <v>-8.1999999999999993</v>
      </c>
      <c r="I16" s="9">
        <v>-2.2999999999999998</v>
      </c>
    </row>
    <row r="17" spans="1:16" x14ac:dyDescent="0.25">
      <c r="A17" s="6" t="s">
        <v>42</v>
      </c>
      <c r="B17" s="6">
        <v>5</v>
      </c>
      <c r="C17" s="6" t="s">
        <v>53</v>
      </c>
      <c r="D17" s="7">
        <v>109506045</v>
      </c>
      <c r="E17" s="7">
        <v>180650018</v>
      </c>
      <c r="F17" s="7">
        <v>109759346</v>
      </c>
      <c r="G17" s="7">
        <v>200975880</v>
      </c>
      <c r="H17" s="10">
        <v>0.2</v>
      </c>
      <c r="I17" s="10">
        <v>11.3</v>
      </c>
    </row>
    <row r="18" spans="1:16" x14ac:dyDescent="0.25">
      <c r="A18" s="12" t="s">
        <v>44</v>
      </c>
      <c r="B18" s="12">
        <v>1</v>
      </c>
      <c r="C18" s="12" t="s">
        <v>49</v>
      </c>
      <c r="D18" s="13">
        <v>105213857</v>
      </c>
      <c r="E18" s="13">
        <v>168407730</v>
      </c>
      <c r="F18" s="13">
        <v>85578546</v>
      </c>
      <c r="G18" s="13">
        <v>165701712</v>
      </c>
      <c r="H18" s="9">
        <v>-18.7</v>
      </c>
      <c r="I18" s="9">
        <v>-1.6</v>
      </c>
      <c r="M18" t="s">
        <v>176</v>
      </c>
      <c r="N18">
        <v>2025</v>
      </c>
      <c r="O18">
        <v>2026</v>
      </c>
      <c r="P18" s="25" t="s">
        <v>166</v>
      </c>
    </row>
    <row r="19" spans="1:16" x14ac:dyDescent="0.25">
      <c r="A19" s="6" t="s">
        <v>44</v>
      </c>
      <c r="B19" s="6">
        <v>2</v>
      </c>
      <c r="C19" s="6" t="s">
        <v>50</v>
      </c>
      <c r="D19" s="7">
        <v>129443304</v>
      </c>
      <c r="E19" s="7">
        <v>206037297</v>
      </c>
      <c r="F19" s="7">
        <v>88056257</v>
      </c>
      <c r="G19" s="7">
        <v>147012439</v>
      </c>
      <c r="H19" s="9">
        <v>-32</v>
      </c>
      <c r="I19" s="9">
        <v>-28.6</v>
      </c>
      <c r="M19" t="s">
        <v>44</v>
      </c>
      <c r="N19" s="19">
        <v>651307575</v>
      </c>
      <c r="O19" s="19">
        <v>532385560</v>
      </c>
      <c r="P19">
        <v>-36.9</v>
      </c>
    </row>
    <row r="20" spans="1:16" x14ac:dyDescent="0.25">
      <c r="A20" s="12" t="s">
        <v>44</v>
      </c>
      <c r="B20" s="12">
        <v>3</v>
      </c>
      <c r="C20" s="12" t="s">
        <v>51</v>
      </c>
      <c r="D20" s="13">
        <v>141740284</v>
      </c>
      <c r="E20" s="13">
        <v>199859478</v>
      </c>
      <c r="F20" s="13">
        <v>102529397</v>
      </c>
      <c r="G20" s="13">
        <v>172325443</v>
      </c>
      <c r="H20" s="9">
        <v>-27.7</v>
      </c>
      <c r="I20" s="9">
        <v>-13.8</v>
      </c>
      <c r="M20" t="s">
        <v>42</v>
      </c>
      <c r="N20" s="19">
        <v>539476441</v>
      </c>
      <c r="O20" s="19">
        <v>453832619</v>
      </c>
      <c r="P20">
        <v>-32.200000000000003</v>
      </c>
    </row>
    <row r="21" spans="1:16" x14ac:dyDescent="0.25">
      <c r="A21" s="6" t="s">
        <v>44</v>
      </c>
      <c r="B21" s="6">
        <v>4</v>
      </c>
      <c r="C21" s="6" t="s">
        <v>52</v>
      </c>
      <c r="D21" s="7">
        <v>140935565</v>
      </c>
      <c r="E21" s="7">
        <v>208970303</v>
      </c>
      <c r="F21" s="7">
        <v>127586935</v>
      </c>
      <c r="G21" s="7">
        <v>203082446</v>
      </c>
      <c r="H21" s="9">
        <v>-9.5</v>
      </c>
      <c r="I21" s="9">
        <v>-2.8</v>
      </c>
      <c r="M21" t="s">
        <v>45</v>
      </c>
      <c r="N21" s="19">
        <v>148851896</v>
      </c>
      <c r="O21" s="19">
        <v>154426241</v>
      </c>
      <c r="P21">
        <v>54.4</v>
      </c>
    </row>
    <row r="22" spans="1:16" x14ac:dyDescent="0.25">
      <c r="A22" s="12" t="s">
        <v>44</v>
      </c>
      <c r="B22" s="12">
        <v>5</v>
      </c>
      <c r="C22" s="12" t="s">
        <v>53</v>
      </c>
      <c r="D22" s="13">
        <v>133974565</v>
      </c>
      <c r="E22" s="13">
        <v>190506501</v>
      </c>
      <c r="F22" s="13">
        <v>128634425</v>
      </c>
      <c r="G22" s="13">
        <v>209292910</v>
      </c>
      <c r="H22" s="9">
        <v>-4</v>
      </c>
      <c r="I22" s="10">
        <v>9.9</v>
      </c>
      <c r="M22" t="s">
        <v>43</v>
      </c>
      <c r="N22" s="19">
        <v>111831134</v>
      </c>
      <c r="O22" s="19">
        <v>78552941</v>
      </c>
      <c r="P22">
        <v>-133.5</v>
      </c>
    </row>
    <row r="23" spans="1:16" x14ac:dyDescent="0.25">
      <c r="A23" s="6" t="s">
        <v>43</v>
      </c>
      <c r="B23" s="6">
        <v>1</v>
      </c>
      <c r="C23" s="6" t="s">
        <v>49</v>
      </c>
      <c r="D23" s="7">
        <v>16804530</v>
      </c>
      <c r="E23" s="7">
        <v>6971742</v>
      </c>
      <c r="F23" s="7">
        <v>9511356</v>
      </c>
      <c r="G23" s="7">
        <v>4242759</v>
      </c>
      <c r="H23" s="9">
        <v>-43.4</v>
      </c>
      <c r="I23" s="9">
        <v>-39.1</v>
      </c>
      <c r="M23" t="s">
        <v>46</v>
      </c>
      <c r="N23" s="19">
        <v>22089826</v>
      </c>
      <c r="O23" s="19">
        <v>16880970</v>
      </c>
      <c r="P23">
        <v>-52.800000000000011</v>
      </c>
    </row>
    <row r="24" spans="1:16" x14ac:dyDescent="0.25">
      <c r="A24" s="12" t="s">
        <v>43</v>
      </c>
      <c r="B24" s="12">
        <v>2</v>
      </c>
      <c r="C24" s="12" t="s">
        <v>50</v>
      </c>
      <c r="D24" s="13">
        <v>21099093</v>
      </c>
      <c r="E24" s="13">
        <v>9032235</v>
      </c>
      <c r="F24" s="13">
        <v>14748621</v>
      </c>
      <c r="G24" s="13">
        <v>6474050</v>
      </c>
      <c r="H24" s="9">
        <v>-30.1</v>
      </c>
      <c r="I24" s="9">
        <v>-28.3</v>
      </c>
    </row>
    <row r="25" spans="1:16" x14ac:dyDescent="0.25">
      <c r="A25" s="6" t="s">
        <v>43</v>
      </c>
      <c r="B25" s="6">
        <v>3</v>
      </c>
      <c r="C25" s="6" t="s">
        <v>51</v>
      </c>
      <c r="D25" s="7">
        <v>26322418</v>
      </c>
      <c r="E25" s="7">
        <v>10614710</v>
      </c>
      <c r="F25" s="7">
        <v>15940971</v>
      </c>
      <c r="G25" s="7">
        <v>6739344</v>
      </c>
      <c r="H25" s="9">
        <v>-39.4</v>
      </c>
      <c r="I25" s="9">
        <v>-36.5</v>
      </c>
    </row>
    <row r="26" spans="1:16" x14ac:dyDescent="0.25">
      <c r="A26" s="12" t="s">
        <v>43</v>
      </c>
      <c r="B26" s="12">
        <v>4</v>
      </c>
      <c r="C26" s="12" t="s">
        <v>52</v>
      </c>
      <c r="D26" s="13">
        <v>23136573</v>
      </c>
      <c r="E26" s="13">
        <v>9505453</v>
      </c>
      <c r="F26" s="13">
        <v>19476914</v>
      </c>
      <c r="G26" s="13">
        <v>8171420</v>
      </c>
      <c r="H26" s="9">
        <v>-15.8</v>
      </c>
      <c r="I26" s="9">
        <v>-14</v>
      </c>
    </row>
    <row r="27" spans="1:16" x14ac:dyDescent="0.25">
      <c r="A27" s="6" t="s">
        <v>43</v>
      </c>
      <c r="B27" s="6">
        <v>5</v>
      </c>
      <c r="C27" s="6" t="s">
        <v>53</v>
      </c>
      <c r="D27" s="7">
        <v>24468520</v>
      </c>
      <c r="E27" s="7">
        <v>9856483</v>
      </c>
      <c r="F27" s="7">
        <v>18875079</v>
      </c>
      <c r="G27" s="7">
        <v>8317030</v>
      </c>
      <c r="H27" s="9">
        <v>-22.9</v>
      </c>
      <c r="I27" s="9">
        <v>-15.6</v>
      </c>
    </row>
    <row r="28" spans="1:16" x14ac:dyDescent="0.25">
      <c r="A28" s="12" t="s">
        <v>45</v>
      </c>
      <c r="B28" s="12">
        <v>1</v>
      </c>
      <c r="C28" s="12" t="s">
        <v>49</v>
      </c>
      <c r="D28" s="13">
        <v>28841502</v>
      </c>
      <c r="E28" s="13">
        <v>35744611</v>
      </c>
      <c r="F28" s="13">
        <v>29138148</v>
      </c>
      <c r="G28" s="13">
        <v>38752037</v>
      </c>
      <c r="H28" s="10">
        <v>1</v>
      </c>
      <c r="I28" s="10">
        <v>8.4</v>
      </c>
    </row>
    <row r="29" spans="1:16" x14ac:dyDescent="0.25">
      <c r="A29" s="6" t="s">
        <v>45</v>
      </c>
      <c r="B29" s="6">
        <v>2</v>
      </c>
      <c r="C29" s="6" t="s">
        <v>50</v>
      </c>
      <c r="D29" s="7">
        <v>27086143</v>
      </c>
      <c r="E29" s="7">
        <v>34709384</v>
      </c>
      <c r="F29" s="7">
        <v>29399763</v>
      </c>
      <c r="G29" s="7">
        <v>40132911</v>
      </c>
      <c r="H29" s="10">
        <v>8.5</v>
      </c>
      <c r="I29" s="10">
        <v>15.6</v>
      </c>
    </row>
    <row r="30" spans="1:16" x14ac:dyDescent="0.25">
      <c r="A30" s="12" t="s">
        <v>45</v>
      </c>
      <c r="B30" s="12">
        <v>3</v>
      </c>
      <c r="C30" s="12" t="s">
        <v>51</v>
      </c>
      <c r="D30" s="13">
        <v>28012513</v>
      </c>
      <c r="E30" s="13">
        <v>34608264</v>
      </c>
      <c r="F30" s="13">
        <v>33823712</v>
      </c>
      <c r="G30" s="13">
        <v>45749678</v>
      </c>
      <c r="H30" s="10">
        <v>20.7</v>
      </c>
      <c r="I30" s="10">
        <v>32.200000000000003</v>
      </c>
    </row>
    <row r="31" spans="1:16" x14ac:dyDescent="0.25">
      <c r="A31" s="6" t="s">
        <v>45</v>
      </c>
      <c r="B31" s="6">
        <v>4</v>
      </c>
      <c r="C31" s="6" t="s">
        <v>52</v>
      </c>
      <c r="D31" s="7">
        <v>29961449</v>
      </c>
      <c r="E31" s="7">
        <v>37309651</v>
      </c>
      <c r="F31" s="7">
        <v>30000559</v>
      </c>
      <c r="G31" s="7">
        <v>40201171</v>
      </c>
      <c r="H31" s="10">
        <v>0.1</v>
      </c>
      <c r="I31" s="10">
        <v>7.8</v>
      </c>
    </row>
    <row r="32" spans="1:16" x14ac:dyDescent="0.25">
      <c r="A32" s="12" t="s">
        <v>45</v>
      </c>
      <c r="B32" s="12">
        <v>5</v>
      </c>
      <c r="C32" s="12" t="s">
        <v>53</v>
      </c>
      <c r="D32" s="13">
        <v>34950289</v>
      </c>
      <c r="E32" s="13">
        <v>46473861</v>
      </c>
      <c r="F32" s="13">
        <v>32064059</v>
      </c>
      <c r="G32" s="13">
        <v>42015037</v>
      </c>
      <c r="H32" s="9">
        <v>-8.3000000000000007</v>
      </c>
      <c r="I32" s="9">
        <v>-9.6</v>
      </c>
    </row>
  </sheetData>
  <mergeCells count="1">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9"/>
  <sheetViews>
    <sheetView tabSelected="1" zoomScale="55" zoomScaleNormal="55" workbookViewId="0">
      <pane xSplit="2" ySplit="2" topLeftCell="E3" activePane="bottomRight" state="frozen"/>
      <selection pane="topRight" activeCell="C1" sqref="C1"/>
      <selection pane="bottomLeft" activeCell="A3" sqref="A3"/>
      <selection pane="bottomRight" activeCell="D3" sqref="D3"/>
    </sheetView>
  </sheetViews>
  <sheetFormatPr defaultRowHeight="15" x14ac:dyDescent="0.25"/>
  <cols>
    <col min="1" max="1" width="12.7109375" customWidth="1"/>
    <col min="2" max="2" width="36.7109375" customWidth="1"/>
    <col min="3" max="3" width="21.7109375" customWidth="1"/>
    <col min="4" max="5" width="15.7109375" customWidth="1"/>
    <col min="6" max="6" width="18.7109375" customWidth="1"/>
    <col min="7" max="7" width="255.7109375" bestFit="1" customWidth="1"/>
    <col min="8" max="9" width="31" bestFit="1" customWidth="1"/>
    <col min="10" max="11" width="17.7109375" customWidth="1"/>
    <col min="12" max="12" width="20.7109375" customWidth="1"/>
    <col min="13" max="14" width="19.7109375" customWidth="1"/>
  </cols>
  <sheetData>
    <row r="1" spans="1:14" ht="20.100000000000001" customHeight="1" x14ac:dyDescent="0.25">
      <c r="A1" s="18" t="s">
        <v>12</v>
      </c>
      <c r="B1" s="18"/>
      <c r="C1" s="18"/>
      <c r="D1" s="18"/>
      <c r="E1" s="18"/>
      <c r="F1" s="18"/>
      <c r="G1" s="18"/>
      <c r="H1" s="18"/>
      <c r="I1" s="18"/>
      <c r="J1" s="18"/>
      <c r="K1" s="18"/>
      <c r="L1" s="18"/>
      <c r="M1" s="18"/>
      <c r="N1" s="18"/>
    </row>
    <row r="2" spans="1:14" ht="39.950000000000003" customHeight="1" x14ac:dyDescent="0.25">
      <c r="A2" s="5" t="s">
        <v>56</v>
      </c>
      <c r="B2" s="5" t="s">
        <v>57</v>
      </c>
      <c r="C2" s="5" t="s">
        <v>23</v>
      </c>
      <c r="D2" s="5" t="s">
        <v>24</v>
      </c>
      <c r="E2" s="5" t="s">
        <v>30</v>
      </c>
      <c r="F2" s="5" t="s">
        <v>36</v>
      </c>
      <c r="G2" s="5" t="s">
        <v>27</v>
      </c>
      <c r="H2" s="5" t="s">
        <v>33</v>
      </c>
      <c r="I2" s="5" t="s">
        <v>39</v>
      </c>
      <c r="J2" s="5" t="s">
        <v>58</v>
      </c>
      <c r="K2" s="5" t="s">
        <v>59</v>
      </c>
      <c r="L2" s="5" t="s">
        <v>60</v>
      </c>
      <c r="M2" s="5" t="s">
        <v>28</v>
      </c>
      <c r="N2" s="5" t="s">
        <v>34</v>
      </c>
    </row>
    <row r="3" spans="1:14" x14ac:dyDescent="0.25">
      <c r="A3" s="8">
        <v>1</v>
      </c>
      <c r="B3" s="6" t="s">
        <v>61</v>
      </c>
      <c r="C3" s="6" t="s">
        <v>62</v>
      </c>
      <c r="D3" s="7">
        <v>0</v>
      </c>
      <c r="E3" s="7">
        <v>160207970</v>
      </c>
      <c r="F3" s="6"/>
      <c r="G3" s="7">
        <v>0</v>
      </c>
      <c r="H3" s="7">
        <v>335030716</v>
      </c>
      <c r="I3" s="6"/>
      <c r="J3" s="6"/>
      <c r="K3" s="7">
        <v>0.48</v>
      </c>
      <c r="L3" s="6"/>
      <c r="M3" s="8">
        <v>0</v>
      </c>
      <c r="N3" s="8">
        <v>56</v>
      </c>
    </row>
    <row r="4" spans="1:14" x14ac:dyDescent="0.25">
      <c r="A4" s="14">
        <v>2</v>
      </c>
      <c r="B4" s="12" t="s">
        <v>63</v>
      </c>
      <c r="C4" s="12" t="s">
        <v>62</v>
      </c>
      <c r="D4" s="13">
        <v>0</v>
      </c>
      <c r="E4" s="13">
        <v>87646167</v>
      </c>
      <c r="F4" s="12"/>
      <c r="G4" s="13">
        <v>0</v>
      </c>
      <c r="H4" s="13">
        <v>160711581</v>
      </c>
      <c r="I4" s="12"/>
      <c r="J4" s="12"/>
      <c r="K4" s="13">
        <v>0.55000000000000004</v>
      </c>
      <c r="L4" s="12"/>
      <c r="M4" s="14">
        <v>0</v>
      </c>
      <c r="N4" s="14">
        <v>66</v>
      </c>
    </row>
    <row r="5" spans="1:14" x14ac:dyDescent="0.25">
      <c r="A5" s="8">
        <v>3</v>
      </c>
      <c r="B5" s="6" t="s">
        <v>64</v>
      </c>
      <c r="C5" s="6" t="s">
        <v>62</v>
      </c>
      <c r="D5" s="7">
        <v>0</v>
      </c>
      <c r="E5" s="7">
        <v>68915332</v>
      </c>
      <c r="F5" s="6"/>
      <c r="G5" s="7">
        <v>0</v>
      </c>
      <c r="H5" s="7">
        <v>33224380</v>
      </c>
      <c r="I5" s="6"/>
      <c r="J5" s="6"/>
      <c r="K5" s="7">
        <v>2.0699999999999998</v>
      </c>
      <c r="L5" s="6"/>
      <c r="M5" s="8">
        <v>0</v>
      </c>
      <c r="N5" s="8">
        <v>46</v>
      </c>
    </row>
    <row r="6" spans="1:14" x14ac:dyDescent="0.25">
      <c r="A6" s="14">
        <v>4</v>
      </c>
      <c r="B6" s="12" t="s">
        <v>65</v>
      </c>
      <c r="C6" s="12" t="s">
        <v>66</v>
      </c>
      <c r="D6" s="13">
        <v>0</v>
      </c>
      <c r="E6" s="13">
        <v>63928962</v>
      </c>
      <c r="F6" s="12"/>
      <c r="G6" s="13">
        <v>0</v>
      </c>
      <c r="H6" s="13">
        <v>108797288</v>
      </c>
      <c r="I6" s="12"/>
      <c r="J6" s="12"/>
      <c r="K6" s="13">
        <v>0.59</v>
      </c>
      <c r="L6" s="12"/>
      <c r="M6" s="14">
        <v>0</v>
      </c>
      <c r="N6" s="14">
        <v>34</v>
      </c>
    </row>
    <row r="7" spans="1:14" x14ac:dyDescent="0.25">
      <c r="A7" s="8">
        <v>5</v>
      </c>
      <c r="B7" s="6" t="s">
        <v>67</v>
      </c>
      <c r="C7" s="6" t="s">
        <v>62</v>
      </c>
      <c r="D7" s="7">
        <v>0</v>
      </c>
      <c r="E7" s="7">
        <v>33116883</v>
      </c>
      <c r="F7" s="6"/>
      <c r="G7" s="7">
        <v>0</v>
      </c>
      <c r="H7" s="7">
        <v>13966960</v>
      </c>
      <c r="I7" s="6"/>
      <c r="J7" s="6"/>
      <c r="K7" s="7">
        <v>2.37</v>
      </c>
      <c r="L7" s="6"/>
      <c r="M7" s="8">
        <v>0</v>
      </c>
      <c r="N7" s="8">
        <v>56</v>
      </c>
    </row>
    <row r="8" spans="1:14" x14ac:dyDescent="0.25">
      <c r="A8" s="14">
        <v>6</v>
      </c>
      <c r="B8" s="12" t="s">
        <v>68</v>
      </c>
      <c r="C8" s="12" t="s">
        <v>62</v>
      </c>
      <c r="D8" s="13">
        <v>0</v>
      </c>
      <c r="E8" s="13">
        <v>32462220</v>
      </c>
      <c r="F8" s="12"/>
      <c r="G8" s="13">
        <v>0</v>
      </c>
      <c r="H8" s="13">
        <v>16298203</v>
      </c>
      <c r="I8" s="12"/>
      <c r="J8" s="12"/>
      <c r="K8" s="13">
        <v>1.99</v>
      </c>
      <c r="L8" s="12"/>
      <c r="M8" s="14">
        <v>0</v>
      </c>
      <c r="N8" s="14">
        <v>65</v>
      </c>
    </row>
    <row r="9" spans="1:14" x14ac:dyDescent="0.25">
      <c r="A9" s="8">
        <v>7</v>
      </c>
      <c r="B9" s="6" t="s">
        <v>69</v>
      </c>
      <c r="C9" s="6" t="s">
        <v>62</v>
      </c>
      <c r="D9" s="7">
        <v>0</v>
      </c>
      <c r="E9" s="7">
        <v>26326758</v>
      </c>
      <c r="F9" s="6"/>
      <c r="G9" s="7">
        <v>0</v>
      </c>
      <c r="H9" s="7">
        <v>119302345</v>
      </c>
      <c r="I9" s="6"/>
      <c r="J9" s="6"/>
      <c r="K9" s="7">
        <v>0.22</v>
      </c>
      <c r="L9" s="6"/>
      <c r="M9" s="8">
        <v>0</v>
      </c>
      <c r="N9" s="8">
        <v>11</v>
      </c>
    </row>
    <row r="10" spans="1:14" x14ac:dyDescent="0.25">
      <c r="A10" s="14">
        <v>8</v>
      </c>
      <c r="B10" s="12" t="s">
        <v>70</v>
      </c>
      <c r="C10" s="12" t="s">
        <v>62</v>
      </c>
      <c r="D10" s="13">
        <v>0</v>
      </c>
      <c r="E10" s="13">
        <v>25085630</v>
      </c>
      <c r="F10" s="12"/>
      <c r="G10" s="13">
        <v>0</v>
      </c>
      <c r="H10" s="13">
        <v>17485674</v>
      </c>
      <c r="I10" s="12"/>
      <c r="J10" s="12"/>
      <c r="K10" s="13">
        <v>1.43</v>
      </c>
      <c r="L10" s="12"/>
      <c r="M10" s="14">
        <v>0</v>
      </c>
      <c r="N10" s="14">
        <v>14</v>
      </c>
    </row>
    <row r="11" spans="1:14" x14ac:dyDescent="0.25">
      <c r="A11" s="8">
        <v>9</v>
      </c>
      <c r="B11" s="6" t="s">
        <v>71</v>
      </c>
      <c r="C11" s="6" t="s">
        <v>62</v>
      </c>
      <c r="D11" s="7">
        <v>0</v>
      </c>
      <c r="E11" s="7">
        <v>21481589</v>
      </c>
      <c r="F11" s="6"/>
      <c r="G11" s="7">
        <v>0</v>
      </c>
      <c r="H11" s="7">
        <v>62012466</v>
      </c>
      <c r="I11" s="6"/>
      <c r="J11" s="6"/>
      <c r="K11" s="7">
        <v>0.35</v>
      </c>
      <c r="L11" s="6"/>
      <c r="M11" s="8">
        <v>0</v>
      </c>
      <c r="N11" s="8">
        <v>31</v>
      </c>
    </row>
    <row r="12" spans="1:14" x14ac:dyDescent="0.25">
      <c r="A12" s="14">
        <v>10</v>
      </c>
      <c r="B12" s="12" t="s">
        <v>72</v>
      </c>
      <c r="C12" s="12" t="s">
        <v>66</v>
      </c>
      <c r="D12" s="13">
        <v>0</v>
      </c>
      <c r="E12" s="13">
        <v>20026242</v>
      </c>
      <c r="F12" s="12"/>
      <c r="G12" s="13">
        <v>0</v>
      </c>
      <c r="H12" s="13">
        <v>16100424</v>
      </c>
      <c r="I12" s="12"/>
      <c r="J12" s="12"/>
      <c r="K12" s="13">
        <v>1.24</v>
      </c>
      <c r="L12" s="12"/>
      <c r="M12" s="14">
        <v>0</v>
      </c>
      <c r="N12" s="14">
        <v>22</v>
      </c>
    </row>
    <row r="13" spans="1:14" x14ac:dyDescent="0.25">
      <c r="A13" s="8">
        <v>11</v>
      </c>
      <c r="B13" s="6" t="s">
        <v>73</v>
      </c>
      <c r="C13" s="6" t="s">
        <v>66</v>
      </c>
      <c r="D13" s="7">
        <v>0</v>
      </c>
      <c r="E13" s="7">
        <v>18945793</v>
      </c>
      <c r="F13" s="6"/>
      <c r="G13" s="7">
        <v>0</v>
      </c>
      <c r="H13" s="7">
        <v>26268860</v>
      </c>
      <c r="I13" s="6"/>
      <c r="J13" s="6"/>
      <c r="K13" s="7">
        <v>0.72</v>
      </c>
      <c r="L13" s="6"/>
      <c r="M13" s="8">
        <v>0</v>
      </c>
      <c r="N13" s="8">
        <v>38</v>
      </c>
    </row>
    <row r="14" spans="1:14" x14ac:dyDescent="0.25">
      <c r="A14" s="14">
        <v>12</v>
      </c>
      <c r="B14" s="12" t="s">
        <v>74</v>
      </c>
      <c r="C14" s="12" t="s">
        <v>75</v>
      </c>
      <c r="D14" s="13">
        <v>0</v>
      </c>
      <c r="E14" s="13">
        <v>14439592</v>
      </c>
      <c r="F14" s="12"/>
      <c r="G14" s="13">
        <v>0</v>
      </c>
      <c r="H14" s="13">
        <v>175969684</v>
      </c>
      <c r="I14" s="12"/>
      <c r="J14" s="12"/>
      <c r="K14" s="13">
        <v>0.08</v>
      </c>
      <c r="L14" s="12"/>
      <c r="M14" s="14">
        <v>0</v>
      </c>
      <c r="N14" s="14">
        <v>8</v>
      </c>
    </row>
    <row r="15" spans="1:14" x14ac:dyDescent="0.25">
      <c r="A15" s="8">
        <v>13</v>
      </c>
      <c r="B15" s="6" t="s">
        <v>76</v>
      </c>
      <c r="C15" s="6" t="s">
        <v>66</v>
      </c>
      <c r="D15" s="7">
        <v>0</v>
      </c>
      <c r="E15" s="7">
        <v>12661650</v>
      </c>
      <c r="F15" s="6"/>
      <c r="G15" s="7">
        <v>0</v>
      </c>
      <c r="H15" s="7">
        <v>15855376</v>
      </c>
      <c r="I15" s="6"/>
      <c r="J15" s="6"/>
      <c r="K15" s="7">
        <v>0.8</v>
      </c>
      <c r="L15" s="6"/>
      <c r="M15" s="8">
        <v>0</v>
      </c>
      <c r="N15" s="8">
        <v>20</v>
      </c>
    </row>
    <row r="16" spans="1:14" x14ac:dyDescent="0.25">
      <c r="A16" s="14">
        <v>14</v>
      </c>
      <c r="B16" s="12" t="s">
        <v>77</v>
      </c>
      <c r="C16" s="12" t="s">
        <v>62</v>
      </c>
      <c r="D16" s="13">
        <v>0</v>
      </c>
      <c r="E16" s="13">
        <v>10954533</v>
      </c>
      <c r="F16" s="12"/>
      <c r="G16" s="13">
        <v>0</v>
      </c>
      <c r="H16" s="13">
        <v>41796844</v>
      </c>
      <c r="I16" s="12"/>
      <c r="J16" s="12"/>
      <c r="K16" s="13">
        <v>0.26</v>
      </c>
      <c r="L16" s="12"/>
      <c r="M16" s="14">
        <v>0</v>
      </c>
      <c r="N16" s="14">
        <v>14</v>
      </c>
    </row>
    <row r="17" spans="1:14" x14ac:dyDescent="0.25">
      <c r="A17" s="8">
        <v>15</v>
      </c>
      <c r="B17" s="6" t="s">
        <v>78</v>
      </c>
      <c r="C17" s="6" t="s">
        <v>66</v>
      </c>
      <c r="D17" s="7">
        <v>0</v>
      </c>
      <c r="E17" s="7">
        <v>10092535</v>
      </c>
      <c r="F17" s="6"/>
      <c r="G17" s="7">
        <v>0</v>
      </c>
      <c r="H17" s="7">
        <v>16905470</v>
      </c>
      <c r="I17" s="6"/>
      <c r="J17" s="6"/>
      <c r="K17" s="7">
        <v>0.6</v>
      </c>
      <c r="L17" s="6"/>
      <c r="M17" s="8">
        <v>0</v>
      </c>
      <c r="N17" s="8">
        <v>9</v>
      </c>
    </row>
    <row r="18" spans="1:14" x14ac:dyDescent="0.25">
      <c r="A18" s="14">
        <v>16</v>
      </c>
      <c r="B18" s="12" t="s">
        <v>79</v>
      </c>
      <c r="C18" s="12" t="s">
        <v>62</v>
      </c>
      <c r="D18" s="13">
        <v>0</v>
      </c>
      <c r="E18" s="13">
        <v>8094940</v>
      </c>
      <c r="F18" s="12"/>
      <c r="G18" s="13">
        <v>0</v>
      </c>
      <c r="H18" s="13">
        <v>6825654</v>
      </c>
      <c r="I18" s="12"/>
      <c r="J18" s="12"/>
      <c r="K18" s="13">
        <v>1.19</v>
      </c>
      <c r="L18" s="12"/>
      <c r="M18" s="14">
        <v>0</v>
      </c>
      <c r="N18" s="14">
        <v>19</v>
      </c>
    </row>
    <row r="19" spans="1:14" x14ac:dyDescent="0.25">
      <c r="A19" s="8">
        <v>17</v>
      </c>
      <c r="B19" s="6" t="s">
        <v>80</v>
      </c>
      <c r="C19" s="6" t="s">
        <v>62</v>
      </c>
      <c r="D19" s="7">
        <v>0</v>
      </c>
      <c r="E19" s="7">
        <v>7279430</v>
      </c>
      <c r="F19" s="6"/>
      <c r="G19" s="7">
        <v>0</v>
      </c>
      <c r="H19" s="7">
        <v>21520785</v>
      </c>
      <c r="I19" s="6"/>
      <c r="J19" s="6"/>
      <c r="K19" s="7">
        <v>0.34</v>
      </c>
      <c r="L19" s="6"/>
      <c r="M19" s="8">
        <v>0</v>
      </c>
      <c r="N19" s="8">
        <v>13</v>
      </c>
    </row>
    <row r="20" spans="1:14" x14ac:dyDescent="0.25">
      <c r="A20" s="14">
        <v>18</v>
      </c>
      <c r="B20" s="12" t="s">
        <v>81</v>
      </c>
      <c r="C20" s="12" t="s">
        <v>66</v>
      </c>
      <c r="D20" s="13">
        <v>8284486</v>
      </c>
      <c r="E20" s="13">
        <v>6443476</v>
      </c>
      <c r="F20" s="9">
        <v>-22.2</v>
      </c>
      <c r="G20" s="13">
        <v>5180899</v>
      </c>
      <c r="H20" s="13">
        <v>4153727</v>
      </c>
      <c r="I20" s="9">
        <v>-19.8</v>
      </c>
      <c r="J20" s="13">
        <v>1.6</v>
      </c>
      <c r="K20" s="13">
        <v>1.55</v>
      </c>
      <c r="L20" s="9">
        <v>-3.1</v>
      </c>
      <c r="M20" s="14">
        <v>20</v>
      </c>
      <c r="N20" s="14">
        <v>15</v>
      </c>
    </row>
    <row r="21" spans="1:14" x14ac:dyDescent="0.25">
      <c r="A21" s="8">
        <v>19</v>
      </c>
      <c r="B21" s="6" t="s">
        <v>82</v>
      </c>
      <c r="C21" s="6" t="s">
        <v>62</v>
      </c>
      <c r="D21" s="7">
        <v>0</v>
      </c>
      <c r="E21" s="7">
        <v>4765631</v>
      </c>
      <c r="F21" s="6"/>
      <c r="G21" s="7">
        <v>0</v>
      </c>
      <c r="H21" s="7">
        <v>2511419</v>
      </c>
      <c r="I21" s="6"/>
      <c r="J21" s="6"/>
      <c r="K21" s="7">
        <v>1.9</v>
      </c>
      <c r="L21" s="6"/>
      <c r="M21" s="8">
        <v>0</v>
      </c>
      <c r="N21" s="8">
        <v>15</v>
      </c>
    </row>
    <row r="22" spans="1:14" x14ac:dyDescent="0.25">
      <c r="A22" s="14">
        <v>20</v>
      </c>
      <c r="B22" s="12" t="s">
        <v>83</v>
      </c>
      <c r="C22" s="12" t="s">
        <v>62</v>
      </c>
      <c r="D22" s="13">
        <v>0</v>
      </c>
      <c r="E22" s="13">
        <v>4454102</v>
      </c>
      <c r="F22" s="12"/>
      <c r="G22" s="13">
        <v>0</v>
      </c>
      <c r="H22" s="13">
        <v>5646170</v>
      </c>
      <c r="I22" s="12"/>
      <c r="J22" s="12"/>
      <c r="K22" s="13">
        <v>0.79</v>
      </c>
      <c r="L22" s="12"/>
      <c r="M22" s="14">
        <v>0</v>
      </c>
      <c r="N22" s="14">
        <v>13</v>
      </c>
    </row>
    <row r="23" spans="1:14" x14ac:dyDescent="0.25">
      <c r="A23" s="8">
        <v>21</v>
      </c>
      <c r="B23" s="6" t="s">
        <v>84</v>
      </c>
      <c r="C23" s="6" t="s">
        <v>62</v>
      </c>
      <c r="D23" s="7">
        <v>0</v>
      </c>
      <c r="E23" s="7">
        <v>4176740</v>
      </c>
      <c r="F23" s="6"/>
      <c r="G23" s="7">
        <v>0</v>
      </c>
      <c r="H23" s="7">
        <v>11789133</v>
      </c>
      <c r="I23" s="6"/>
      <c r="J23" s="6"/>
      <c r="K23" s="7">
        <v>0.35</v>
      </c>
      <c r="L23" s="6"/>
      <c r="M23" s="8">
        <v>0</v>
      </c>
      <c r="N23" s="8">
        <v>23</v>
      </c>
    </row>
    <row r="24" spans="1:14" x14ac:dyDescent="0.25">
      <c r="A24" s="14">
        <v>22</v>
      </c>
      <c r="B24" s="12" t="s">
        <v>85</v>
      </c>
      <c r="C24" s="12" t="s">
        <v>62</v>
      </c>
      <c r="D24" s="13">
        <v>0</v>
      </c>
      <c r="E24" s="13">
        <v>3780832</v>
      </c>
      <c r="F24" s="12"/>
      <c r="G24" s="13">
        <v>0</v>
      </c>
      <c r="H24" s="13">
        <v>6875611</v>
      </c>
      <c r="I24" s="12"/>
      <c r="J24" s="12"/>
      <c r="K24" s="13">
        <v>0.55000000000000004</v>
      </c>
      <c r="L24" s="12"/>
      <c r="M24" s="14">
        <v>0</v>
      </c>
      <c r="N24" s="14">
        <v>17</v>
      </c>
    </row>
    <row r="25" spans="1:14" x14ac:dyDescent="0.25">
      <c r="A25" s="8">
        <v>23</v>
      </c>
      <c r="B25" s="6" t="s">
        <v>86</v>
      </c>
      <c r="C25" s="6" t="s">
        <v>66</v>
      </c>
      <c r="D25" s="7">
        <v>0</v>
      </c>
      <c r="E25" s="7">
        <v>3694914</v>
      </c>
      <c r="F25" s="6"/>
      <c r="G25" s="7">
        <v>0</v>
      </c>
      <c r="H25" s="7">
        <v>3131178</v>
      </c>
      <c r="I25" s="6"/>
      <c r="J25" s="6"/>
      <c r="K25" s="7">
        <v>1.18</v>
      </c>
      <c r="L25" s="6"/>
      <c r="M25" s="8">
        <v>0</v>
      </c>
      <c r="N25" s="8">
        <v>5</v>
      </c>
    </row>
    <row r="26" spans="1:14" x14ac:dyDescent="0.25">
      <c r="A26" s="14">
        <v>24</v>
      </c>
      <c r="B26" s="12" t="s">
        <v>87</v>
      </c>
      <c r="C26" s="12" t="s">
        <v>66</v>
      </c>
      <c r="D26" s="13">
        <v>0</v>
      </c>
      <c r="E26" s="13">
        <v>3648969</v>
      </c>
      <c r="F26" s="12"/>
      <c r="G26" s="13">
        <v>0</v>
      </c>
      <c r="H26" s="13">
        <v>3451695</v>
      </c>
      <c r="I26" s="12"/>
      <c r="J26" s="12"/>
      <c r="K26" s="13">
        <v>1.06</v>
      </c>
      <c r="L26" s="12"/>
      <c r="M26" s="14">
        <v>0</v>
      </c>
      <c r="N26" s="14">
        <v>16</v>
      </c>
    </row>
    <row r="27" spans="1:14" x14ac:dyDescent="0.25">
      <c r="A27" s="8">
        <v>25</v>
      </c>
      <c r="B27" s="6" t="s">
        <v>88</v>
      </c>
      <c r="C27" s="6" t="s">
        <v>62</v>
      </c>
      <c r="D27" s="7">
        <v>0</v>
      </c>
      <c r="E27" s="7">
        <v>3521011</v>
      </c>
      <c r="F27" s="6"/>
      <c r="G27" s="7">
        <v>0</v>
      </c>
      <c r="H27" s="7">
        <v>10851977</v>
      </c>
      <c r="I27" s="6"/>
      <c r="J27" s="6"/>
      <c r="K27" s="7">
        <v>0.32</v>
      </c>
      <c r="L27" s="6"/>
      <c r="M27" s="8">
        <v>0</v>
      </c>
      <c r="N27" s="8">
        <v>17</v>
      </c>
    </row>
    <row r="28" spans="1:14" x14ac:dyDescent="0.25">
      <c r="A28" s="14">
        <v>26</v>
      </c>
      <c r="B28" s="12" t="s">
        <v>89</v>
      </c>
      <c r="C28" s="12" t="s">
        <v>66</v>
      </c>
      <c r="D28" s="13">
        <v>0</v>
      </c>
      <c r="E28" s="13">
        <v>3343594</v>
      </c>
      <c r="F28" s="12"/>
      <c r="G28" s="13">
        <v>0</v>
      </c>
      <c r="H28" s="13">
        <v>2307461</v>
      </c>
      <c r="I28" s="12"/>
      <c r="J28" s="12"/>
      <c r="K28" s="13">
        <v>1.45</v>
      </c>
      <c r="L28" s="12"/>
      <c r="M28" s="14">
        <v>0</v>
      </c>
      <c r="N28" s="14">
        <v>25</v>
      </c>
    </row>
    <row r="29" spans="1:14" x14ac:dyDescent="0.25">
      <c r="A29" s="8">
        <v>27</v>
      </c>
      <c r="B29" s="6" t="s">
        <v>90</v>
      </c>
      <c r="C29" s="6" t="s">
        <v>62</v>
      </c>
      <c r="D29" s="7">
        <v>0</v>
      </c>
      <c r="E29" s="7">
        <v>3333506</v>
      </c>
      <c r="F29" s="6"/>
      <c r="G29" s="7">
        <v>0</v>
      </c>
      <c r="H29" s="7">
        <v>1624260</v>
      </c>
      <c r="I29" s="6"/>
      <c r="J29" s="6"/>
      <c r="K29" s="7">
        <v>2.0499999999999998</v>
      </c>
      <c r="L29" s="6"/>
      <c r="M29" s="8">
        <v>0</v>
      </c>
      <c r="N29" s="8">
        <v>28</v>
      </c>
    </row>
    <row r="30" spans="1:14" x14ac:dyDescent="0.25">
      <c r="A30" s="14">
        <v>28</v>
      </c>
      <c r="B30" s="12" t="s">
        <v>91</v>
      </c>
      <c r="C30" s="12" t="s">
        <v>62</v>
      </c>
      <c r="D30" s="13">
        <v>0</v>
      </c>
      <c r="E30" s="13">
        <v>3154329</v>
      </c>
      <c r="F30" s="12"/>
      <c r="G30" s="13">
        <v>0</v>
      </c>
      <c r="H30" s="13">
        <v>2213121</v>
      </c>
      <c r="I30" s="12"/>
      <c r="J30" s="12"/>
      <c r="K30" s="13">
        <v>1.43</v>
      </c>
      <c r="L30" s="12"/>
      <c r="M30" s="14">
        <v>0</v>
      </c>
      <c r="N30" s="14">
        <v>21</v>
      </c>
    </row>
    <row r="31" spans="1:14" x14ac:dyDescent="0.25">
      <c r="A31" s="8">
        <v>29</v>
      </c>
      <c r="B31" s="6" t="s">
        <v>92</v>
      </c>
      <c r="C31" s="6" t="s">
        <v>62</v>
      </c>
      <c r="D31" s="7">
        <v>0</v>
      </c>
      <c r="E31" s="7">
        <v>3047222</v>
      </c>
      <c r="F31" s="6"/>
      <c r="G31" s="7">
        <v>0</v>
      </c>
      <c r="H31" s="7">
        <v>6102404</v>
      </c>
      <c r="I31" s="6"/>
      <c r="J31" s="6"/>
      <c r="K31" s="7">
        <v>0.5</v>
      </c>
      <c r="L31" s="6"/>
      <c r="M31" s="8">
        <v>0</v>
      </c>
      <c r="N31" s="8">
        <v>15</v>
      </c>
    </row>
    <row r="32" spans="1:14" x14ac:dyDescent="0.25">
      <c r="A32" s="14">
        <v>30</v>
      </c>
      <c r="B32" s="12" t="s">
        <v>93</v>
      </c>
      <c r="C32" s="12" t="s">
        <v>75</v>
      </c>
      <c r="D32" s="13">
        <v>0</v>
      </c>
      <c r="E32" s="13">
        <v>2429922</v>
      </c>
      <c r="F32" s="12"/>
      <c r="G32" s="13">
        <v>0</v>
      </c>
      <c r="H32" s="13">
        <v>216245</v>
      </c>
      <c r="I32" s="12"/>
      <c r="J32" s="12"/>
      <c r="K32" s="13">
        <v>11.24</v>
      </c>
      <c r="L32" s="12"/>
      <c r="M32" s="14">
        <v>0</v>
      </c>
      <c r="N32" s="14">
        <v>23</v>
      </c>
    </row>
    <row r="38" spans="7:9" x14ac:dyDescent="0.25">
      <c r="G38" s="21" t="s">
        <v>169</v>
      </c>
      <c r="H38" t="s">
        <v>172</v>
      </c>
      <c r="I38" t="s">
        <v>171</v>
      </c>
    </row>
    <row r="39" spans="7:9" x14ac:dyDescent="0.25">
      <c r="G39" s="22" t="s">
        <v>61</v>
      </c>
      <c r="H39" s="23">
        <v>0</v>
      </c>
      <c r="I39" s="23">
        <v>160207970</v>
      </c>
    </row>
    <row r="40" spans="7:9" x14ac:dyDescent="0.25">
      <c r="G40" s="22" t="s">
        <v>63</v>
      </c>
      <c r="H40" s="23">
        <v>0</v>
      </c>
      <c r="I40" s="23">
        <v>87646167</v>
      </c>
    </row>
    <row r="41" spans="7:9" x14ac:dyDescent="0.25">
      <c r="G41" s="22" t="s">
        <v>64</v>
      </c>
      <c r="H41" s="23">
        <v>0</v>
      </c>
      <c r="I41" s="23">
        <v>68915332</v>
      </c>
    </row>
    <row r="42" spans="7:9" x14ac:dyDescent="0.25">
      <c r="G42" s="22" t="s">
        <v>65</v>
      </c>
      <c r="H42" s="23">
        <v>0</v>
      </c>
      <c r="I42" s="23">
        <v>63928962</v>
      </c>
    </row>
    <row r="43" spans="7:9" x14ac:dyDescent="0.25">
      <c r="G43" s="22" t="s">
        <v>67</v>
      </c>
      <c r="H43" s="23">
        <v>0</v>
      </c>
      <c r="I43" s="23">
        <v>33116883</v>
      </c>
    </row>
    <row r="44" spans="7:9" x14ac:dyDescent="0.25">
      <c r="G44" s="22" t="s">
        <v>68</v>
      </c>
      <c r="H44" s="23">
        <v>0</v>
      </c>
      <c r="I44" s="23">
        <v>32462220</v>
      </c>
    </row>
    <row r="45" spans="7:9" x14ac:dyDescent="0.25">
      <c r="G45" s="22" t="s">
        <v>69</v>
      </c>
      <c r="H45" s="23">
        <v>0</v>
      </c>
      <c r="I45" s="23">
        <v>26326758</v>
      </c>
    </row>
    <row r="46" spans="7:9" x14ac:dyDescent="0.25">
      <c r="G46" s="22" t="s">
        <v>70</v>
      </c>
      <c r="H46" s="23">
        <v>0</v>
      </c>
      <c r="I46" s="23">
        <v>25085630</v>
      </c>
    </row>
    <row r="47" spans="7:9" x14ac:dyDescent="0.25">
      <c r="G47" s="22" t="s">
        <v>71</v>
      </c>
      <c r="H47" s="23">
        <v>0</v>
      </c>
      <c r="I47" s="23">
        <v>21481589</v>
      </c>
    </row>
    <row r="48" spans="7:9" x14ac:dyDescent="0.25">
      <c r="G48" s="22" t="s">
        <v>72</v>
      </c>
      <c r="H48" s="23">
        <v>0</v>
      </c>
      <c r="I48" s="23">
        <v>20026242</v>
      </c>
    </row>
    <row r="49" spans="7:9" x14ac:dyDescent="0.25">
      <c r="G49" s="22" t="s">
        <v>73</v>
      </c>
      <c r="H49" s="23">
        <v>0</v>
      </c>
      <c r="I49" s="23">
        <v>18945793</v>
      </c>
    </row>
    <row r="50" spans="7:9" x14ac:dyDescent="0.25">
      <c r="G50" s="22" t="s">
        <v>74</v>
      </c>
      <c r="H50" s="23">
        <v>0</v>
      </c>
      <c r="I50" s="23">
        <v>14439592</v>
      </c>
    </row>
    <row r="51" spans="7:9" x14ac:dyDescent="0.25">
      <c r="G51" s="22" t="s">
        <v>76</v>
      </c>
      <c r="H51" s="23">
        <v>0</v>
      </c>
      <c r="I51" s="23">
        <v>12661650</v>
      </c>
    </row>
    <row r="52" spans="7:9" x14ac:dyDescent="0.25">
      <c r="G52" s="22" t="s">
        <v>77</v>
      </c>
      <c r="H52" s="23">
        <v>0</v>
      </c>
      <c r="I52" s="23">
        <v>10954533</v>
      </c>
    </row>
    <row r="53" spans="7:9" x14ac:dyDescent="0.25">
      <c r="G53" s="22" t="s">
        <v>78</v>
      </c>
      <c r="H53" s="23">
        <v>0</v>
      </c>
      <c r="I53" s="23">
        <v>10092535</v>
      </c>
    </row>
    <row r="54" spans="7:9" x14ac:dyDescent="0.25">
      <c r="G54" s="22" t="s">
        <v>79</v>
      </c>
      <c r="H54" s="23">
        <v>0</v>
      </c>
      <c r="I54" s="23">
        <v>8094940</v>
      </c>
    </row>
    <row r="55" spans="7:9" x14ac:dyDescent="0.25">
      <c r="G55" s="22" t="s">
        <v>80</v>
      </c>
      <c r="H55" s="23">
        <v>0</v>
      </c>
      <c r="I55" s="23">
        <v>7279430</v>
      </c>
    </row>
    <row r="56" spans="7:9" x14ac:dyDescent="0.25">
      <c r="G56" s="22" t="s">
        <v>81</v>
      </c>
      <c r="H56" s="23">
        <v>8284486</v>
      </c>
      <c r="I56" s="23">
        <v>6443476</v>
      </c>
    </row>
    <row r="57" spans="7:9" x14ac:dyDescent="0.25">
      <c r="G57" s="22" t="s">
        <v>82</v>
      </c>
      <c r="H57" s="23">
        <v>0</v>
      </c>
      <c r="I57" s="23">
        <v>4765631</v>
      </c>
    </row>
    <row r="58" spans="7:9" x14ac:dyDescent="0.25">
      <c r="G58" s="22" t="s">
        <v>83</v>
      </c>
      <c r="H58" s="23">
        <v>0</v>
      </c>
      <c r="I58" s="23">
        <v>4454102</v>
      </c>
    </row>
    <row r="59" spans="7:9" x14ac:dyDescent="0.25">
      <c r="G59" s="22" t="s">
        <v>84</v>
      </c>
      <c r="H59" s="23">
        <v>0</v>
      </c>
      <c r="I59" s="23">
        <v>4176740</v>
      </c>
    </row>
    <row r="60" spans="7:9" x14ac:dyDescent="0.25">
      <c r="G60" s="22" t="s">
        <v>85</v>
      </c>
      <c r="H60" s="23">
        <v>0</v>
      </c>
      <c r="I60" s="23">
        <v>3780832</v>
      </c>
    </row>
    <row r="61" spans="7:9" x14ac:dyDescent="0.25">
      <c r="G61" s="22" t="s">
        <v>86</v>
      </c>
      <c r="H61" s="23">
        <v>0</v>
      </c>
      <c r="I61" s="23">
        <v>3694914</v>
      </c>
    </row>
    <row r="62" spans="7:9" x14ac:dyDescent="0.25">
      <c r="G62" s="22" t="s">
        <v>87</v>
      </c>
      <c r="H62" s="23">
        <v>0</v>
      </c>
      <c r="I62" s="23">
        <v>3648969</v>
      </c>
    </row>
    <row r="63" spans="7:9" x14ac:dyDescent="0.25">
      <c r="G63" s="22" t="s">
        <v>88</v>
      </c>
      <c r="H63" s="23">
        <v>0</v>
      </c>
      <c r="I63" s="23">
        <v>3521011</v>
      </c>
    </row>
    <row r="64" spans="7:9" x14ac:dyDescent="0.25">
      <c r="G64" s="22" t="s">
        <v>89</v>
      </c>
      <c r="H64" s="23">
        <v>0</v>
      </c>
      <c r="I64" s="23">
        <v>3343594</v>
      </c>
    </row>
    <row r="65" spans="7:9" x14ac:dyDescent="0.25">
      <c r="G65" s="22" t="s">
        <v>90</v>
      </c>
      <c r="H65" s="23">
        <v>0</v>
      </c>
      <c r="I65" s="23">
        <v>3333506</v>
      </c>
    </row>
    <row r="66" spans="7:9" x14ac:dyDescent="0.25">
      <c r="G66" s="22" t="s">
        <v>91</v>
      </c>
      <c r="H66" s="23">
        <v>0</v>
      </c>
      <c r="I66" s="23">
        <v>3154329</v>
      </c>
    </row>
    <row r="67" spans="7:9" x14ac:dyDescent="0.25">
      <c r="G67" s="22" t="s">
        <v>92</v>
      </c>
      <c r="H67" s="23">
        <v>0</v>
      </c>
      <c r="I67" s="23">
        <v>3047222</v>
      </c>
    </row>
    <row r="68" spans="7:9" x14ac:dyDescent="0.25">
      <c r="G68" s="22" t="s">
        <v>93</v>
      </c>
      <c r="H68" s="23">
        <v>0</v>
      </c>
      <c r="I68" s="23">
        <v>2429922</v>
      </c>
    </row>
    <row r="69" spans="7:9" x14ac:dyDescent="0.25">
      <c r="G69" s="22" t="s">
        <v>170</v>
      </c>
      <c r="H69" s="23">
        <v>8284486</v>
      </c>
      <c r="I69" s="23">
        <v>671460474</v>
      </c>
    </row>
  </sheetData>
  <mergeCells count="1">
    <mergeCell ref="A1:N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7"/>
  <sheetViews>
    <sheetView workbookViewId="0">
      <pane xSplit="1" ySplit="2" topLeftCell="B3" activePane="bottomRight" state="frozen"/>
      <selection pane="topRight" activeCell="B1" sqref="B1"/>
      <selection pane="bottomLeft" activeCell="A3" sqref="A3"/>
      <selection pane="bottomRight" sqref="A1:L1"/>
    </sheetView>
  </sheetViews>
  <sheetFormatPr defaultRowHeight="15" x14ac:dyDescent="0.25"/>
  <cols>
    <col min="1" max="1" width="12.7109375" customWidth="1"/>
    <col min="2" max="2" width="26.7109375" customWidth="1"/>
    <col min="3" max="4" width="15.7109375" customWidth="1"/>
    <col min="5" max="5" width="18.7109375" customWidth="1"/>
    <col min="6" max="7" width="17.7109375" customWidth="1"/>
    <col min="8" max="8" width="15.7109375" customWidth="1"/>
    <col min="9" max="10" width="14.7109375" customWidth="1"/>
    <col min="11" max="12" width="15.7109375" customWidth="1"/>
  </cols>
  <sheetData>
    <row r="1" spans="1:12" ht="20.100000000000001" customHeight="1" x14ac:dyDescent="0.25">
      <c r="A1" s="18" t="s">
        <v>14</v>
      </c>
      <c r="B1" s="18"/>
      <c r="C1" s="18"/>
      <c r="D1" s="18"/>
      <c r="E1" s="18"/>
      <c r="F1" s="18"/>
      <c r="G1" s="18"/>
      <c r="H1" s="18"/>
      <c r="I1" s="18"/>
      <c r="J1" s="18"/>
      <c r="K1" s="18"/>
      <c r="L1" s="18"/>
    </row>
    <row r="2" spans="1:12" ht="39.950000000000003" customHeight="1" x14ac:dyDescent="0.25">
      <c r="A2" s="5" t="s">
        <v>56</v>
      </c>
      <c r="B2" s="5" t="s">
        <v>94</v>
      </c>
      <c r="C2" s="5" t="s">
        <v>24</v>
      </c>
      <c r="D2" s="5" t="s">
        <v>30</v>
      </c>
      <c r="E2" s="5" t="s">
        <v>36</v>
      </c>
      <c r="F2" s="5" t="s">
        <v>95</v>
      </c>
      <c r="G2" s="5" t="s">
        <v>96</v>
      </c>
      <c r="H2" s="5" t="s">
        <v>97</v>
      </c>
      <c r="I2" s="5" t="s">
        <v>27</v>
      </c>
      <c r="J2" s="5" t="s">
        <v>33</v>
      </c>
      <c r="K2" s="5" t="s">
        <v>29</v>
      </c>
      <c r="L2" s="5" t="s">
        <v>35</v>
      </c>
    </row>
    <row r="3" spans="1:12" x14ac:dyDescent="0.25">
      <c r="A3" s="8">
        <v>1</v>
      </c>
      <c r="B3" s="6" t="s">
        <v>98</v>
      </c>
      <c r="C3" s="7">
        <v>322157140</v>
      </c>
      <c r="D3" s="7">
        <v>174416163</v>
      </c>
      <c r="E3" s="9">
        <v>-45.9</v>
      </c>
      <c r="F3" s="11">
        <v>39.18</v>
      </c>
      <c r="G3" s="11">
        <v>29.35</v>
      </c>
      <c r="H3" s="9">
        <v>-9.83</v>
      </c>
      <c r="I3" s="7">
        <v>304201881</v>
      </c>
      <c r="J3" s="7">
        <v>170251589</v>
      </c>
      <c r="K3" s="8">
        <v>74</v>
      </c>
      <c r="L3" s="8">
        <v>62</v>
      </c>
    </row>
    <row r="4" spans="1:12" x14ac:dyDescent="0.25">
      <c r="A4" s="14">
        <v>2</v>
      </c>
      <c r="B4" s="12" t="s">
        <v>99</v>
      </c>
      <c r="C4" s="13">
        <v>38323387</v>
      </c>
      <c r="D4" s="13">
        <v>53568518</v>
      </c>
      <c r="E4" s="10">
        <v>39.799999999999997</v>
      </c>
      <c r="F4" s="15">
        <v>4.66</v>
      </c>
      <c r="G4" s="15">
        <v>9.01</v>
      </c>
      <c r="H4" s="10">
        <v>4.3499999999999996</v>
      </c>
      <c r="I4" s="13">
        <v>66294054</v>
      </c>
      <c r="J4" s="13">
        <v>101340599</v>
      </c>
      <c r="K4" s="14">
        <v>37</v>
      </c>
      <c r="L4" s="14">
        <v>38</v>
      </c>
    </row>
    <row r="5" spans="1:12" x14ac:dyDescent="0.25">
      <c r="A5" s="8">
        <v>3</v>
      </c>
      <c r="B5" s="6" t="s">
        <v>100</v>
      </c>
      <c r="C5" s="7">
        <v>46766862</v>
      </c>
      <c r="D5" s="7">
        <v>44796199</v>
      </c>
      <c r="E5" s="9">
        <v>-4.2</v>
      </c>
      <c r="F5" s="11">
        <v>5.69</v>
      </c>
      <c r="G5" s="11">
        <v>7.54</v>
      </c>
      <c r="H5" s="10">
        <v>1.85</v>
      </c>
      <c r="I5" s="7">
        <v>59455311</v>
      </c>
      <c r="J5" s="7">
        <v>60479004</v>
      </c>
      <c r="K5" s="8">
        <v>66</v>
      </c>
      <c r="L5" s="8">
        <v>62</v>
      </c>
    </row>
    <row r="6" spans="1:12" x14ac:dyDescent="0.25">
      <c r="A6" s="14">
        <v>4</v>
      </c>
      <c r="B6" s="12" t="s">
        <v>101</v>
      </c>
      <c r="C6" s="13">
        <v>20084103</v>
      </c>
      <c r="D6" s="13">
        <v>36999249</v>
      </c>
      <c r="E6" s="10">
        <v>84.2</v>
      </c>
      <c r="F6" s="15">
        <v>2.44</v>
      </c>
      <c r="G6" s="15">
        <v>6.23</v>
      </c>
      <c r="H6" s="10">
        <v>3.79</v>
      </c>
      <c r="I6" s="13">
        <v>73671572</v>
      </c>
      <c r="J6" s="13">
        <v>123612529</v>
      </c>
      <c r="K6" s="14">
        <v>19</v>
      </c>
      <c r="L6" s="14">
        <v>29</v>
      </c>
    </row>
    <row r="7" spans="1:12" x14ac:dyDescent="0.25">
      <c r="A7" s="8">
        <v>5</v>
      </c>
      <c r="B7" s="6" t="s">
        <v>102</v>
      </c>
      <c r="C7" s="7">
        <v>25118016</v>
      </c>
      <c r="D7" s="7">
        <v>23536971</v>
      </c>
      <c r="E7" s="9">
        <v>-6.3</v>
      </c>
      <c r="F7" s="11">
        <v>3.05</v>
      </c>
      <c r="G7" s="11">
        <v>3.96</v>
      </c>
      <c r="H7" s="10">
        <v>0.91</v>
      </c>
      <c r="I7" s="7">
        <v>29961080</v>
      </c>
      <c r="J7" s="7">
        <v>30200624</v>
      </c>
      <c r="K7" s="8">
        <v>27</v>
      </c>
      <c r="L7" s="8">
        <v>23</v>
      </c>
    </row>
    <row r="8" spans="1:12" x14ac:dyDescent="0.25">
      <c r="A8" s="14">
        <v>6</v>
      </c>
      <c r="B8" s="12" t="s">
        <v>103</v>
      </c>
      <c r="C8" s="13">
        <v>42107958</v>
      </c>
      <c r="D8" s="13">
        <v>22464031</v>
      </c>
      <c r="E8" s="9">
        <v>-46.7</v>
      </c>
      <c r="F8" s="15">
        <v>5.12</v>
      </c>
      <c r="G8" s="15">
        <v>3.78</v>
      </c>
      <c r="H8" s="9">
        <v>-1.34</v>
      </c>
      <c r="I8" s="13">
        <v>215193484</v>
      </c>
      <c r="J8" s="13">
        <v>139237992</v>
      </c>
      <c r="K8" s="14">
        <v>16</v>
      </c>
      <c r="L8" s="14">
        <v>15</v>
      </c>
    </row>
    <row r="9" spans="1:12" x14ac:dyDescent="0.25">
      <c r="A9" s="8">
        <v>7</v>
      </c>
      <c r="B9" s="6" t="s">
        <v>104</v>
      </c>
      <c r="C9" s="7">
        <v>11405780</v>
      </c>
      <c r="D9" s="7">
        <v>21898854</v>
      </c>
      <c r="E9" s="10">
        <v>92</v>
      </c>
      <c r="F9" s="11">
        <v>1.39</v>
      </c>
      <c r="G9" s="11">
        <v>3.68</v>
      </c>
      <c r="H9" s="10">
        <v>2.29</v>
      </c>
      <c r="I9" s="7">
        <v>15561434</v>
      </c>
      <c r="J9" s="7">
        <v>38855075</v>
      </c>
      <c r="K9" s="8">
        <v>29</v>
      </c>
      <c r="L9" s="8">
        <v>30</v>
      </c>
    </row>
    <row r="10" spans="1:12" x14ac:dyDescent="0.25">
      <c r="A10" s="14">
        <v>8</v>
      </c>
      <c r="B10" s="12" t="s">
        <v>105</v>
      </c>
      <c r="C10" s="13">
        <v>18763578</v>
      </c>
      <c r="D10" s="13">
        <v>20880878</v>
      </c>
      <c r="E10" s="10">
        <v>11.3</v>
      </c>
      <c r="F10" s="15">
        <v>2.2799999999999998</v>
      </c>
      <c r="G10" s="15">
        <v>3.51</v>
      </c>
      <c r="H10" s="10">
        <v>1.23</v>
      </c>
      <c r="I10" s="13">
        <v>22540993</v>
      </c>
      <c r="J10" s="13">
        <v>22974768</v>
      </c>
      <c r="K10" s="14">
        <v>94</v>
      </c>
      <c r="L10" s="14">
        <v>91</v>
      </c>
    </row>
    <row r="11" spans="1:12" x14ac:dyDescent="0.25">
      <c r="A11" s="8">
        <v>9</v>
      </c>
      <c r="B11" s="6" t="s">
        <v>106</v>
      </c>
      <c r="C11" s="7">
        <v>22733047</v>
      </c>
      <c r="D11" s="7">
        <v>18507219</v>
      </c>
      <c r="E11" s="9">
        <v>-18.600000000000001</v>
      </c>
      <c r="F11" s="11">
        <v>2.76</v>
      </c>
      <c r="G11" s="11">
        <v>3.11</v>
      </c>
      <c r="H11" s="10">
        <v>0.35</v>
      </c>
      <c r="I11" s="7">
        <v>44823657</v>
      </c>
      <c r="J11" s="7">
        <v>36147671</v>
      </c>
      <c r="K11" s="8">
        <v>7</v>
      </c>
      <c r="L11" s="8">
        <v>11</v>
      </c>
    </row>
    <row r="12" spans="1:12" x14ac:dyDescent="0.25">
      <c r="A12" s="14">
        <v>10</v>
      </c>
      <c r="B12" s="12" t="s">
        <v>107</v>
      </c>
      <c r="C12" s="13">
        <v>18621563</v>
      </c>
      <c r="D12" s="13">
        <v>18254257</v>
      </c>
      <c r="E12" s="9">
        <v>-2</v>
      </c>
      <c r="F12" s="15">
        <v>2.2599999999999998</v>
      </c>
      <c r="G12" s="15">
        <v>3.07</v>
      </c>
      <c r="H12" s="10">
        <v>0.81</v>
      </c>
      <c r="I12" s="13">
        <v>13440293</v>
      </c>
      <c r="J12" s="13">
        <v>12789977</v>
      </c>
      <c r="K12" s="14">
        <v>77</v>
      </c>
      <c r="L12" s="14">
        <v>77</v>
      </c>
    </row>
    <row r="13" spans="1:12" x14ac:dyDescent="0.25">
      <c r="A13" s="8">
        <v>11</v>
      </c>
      <c r="B13" s="6" t="s">
        <v>108</v>
      </c>
      <c r="C13" s="7">
        <v>17908831</v>
      </c>
      <c r="D13" s="7">
        <v>17802429</v>
      </c>
      <c r="E13" s="9">
        <v>-0.6</v>
      </c>
      <c r="F13" s="11">
        <v>2.1800000000000002</v>
      </c>
      <c r="G13" s="11">
        <v>3</v>
      </c>
      <c r="H13" s="10">
        <v>0.82</v>
      </c>
      <c r="I13" s="7">
        <v>141056177</v>
      </c>
      <c r="J13" s="7">
        <v>93545940</v>
      </c>
      <c r="K13" s="8">
        <v>40</v>
      </c>
      <c r="L13" s="8">
        <v>31</v>
      </c>
    </row>
    <row r="14" spans="1:12" x14ac:dyDescent="0.25">
      <c r="A14" s="14">
        <v>12</v>
      </c>
      <c r="B14" s="12" t="s">
        <v>109</v>
      </c>
      <c r="C14" s="13">
        <v>4866967</v>
      </c>
      <c r="D14" s="13">
        <v>14833283</v>
      </c>
      <c r="E14" s="10">
        <v>204.8</v>
      </c>
      <c r="F14" s="15">
        <v>0.59</v>
      </c>
      <c r="G14" s="15">
        <v>2.5</v>
      </c>
      <c r="H14" s="10">
        <v>1.91</v>
      </c>
      <c r="I14" s="13">
        <v>7531171</v>
      </c>
      <c r="J14" s="13">
        <v>24233823</v>
      </c>
      <c r="K14" s="14">
        <v>20</v>
      </c>
      <c r="L14" s="14">
        <v>20</v>
      </c>
    </row>
    <row r="15" spans="1:12" x14ac:dyDescent="0.25">
      <c r="A15" s="8">
        <v>13</v>
      </c>
      <c r="B15" s="6" t="s">
        <v>110</v>
      </c>
      <c r="C15" s="7">
        <v>16327825</v>
      </c>
      <c r="D15" s="7">
        <v>14716745</v>
      </c>
      <c r="E15" s="9">
        <v>-9.9</v>
      </c>
      <c r="F15" s="11">
        <v>1.99</v>
      </c>
      <c r="G15" s="11">
        <v>2.48</v>
      </c>
      <c r="H15" s="10">
        <v>0.49</v>
      </c>
      <c r="I15" s="7">
        <v>21982042</v>
      </c>
      <c r="J15" s="7">
        <v>18441591</v>
      </c>
      <c r="K15" s="8">
        <v>53</v>
      </c>
      <c r="L15" s="8">
        <v>39</v>
      </c>
    </row>
    <row r="16" spans="1:12" x14ac:dyDescent="0.25">
      <c r="A16" s="14">
        <v>14</v>
      </c>
      <c r="B16" s="12" t="s">
        <v>111</v>
      </c>
      <c r="C16" s="13">
        <v>14238922</v>
      </c>
      <c r="D16" s="13">
        <v>14244206</v>
      </c>
      <c r="E16" s="15">
        <v>0</v>
      </c>
      <c r="F16" s="15">
        <v>1.73</v>
      </c>
      <c r="G16" s="15">
        <v>2.4</v>
      </c>
      <c r="H16" s="10">
        <v>0.67</v>
      </c>
      <c r="I16" s="13">
        <v>19504967</v>
      </c>
      <c r="J16" s="13">
        <v>20793588</v>
      </c>
      <c r="K16" s="14">
        <v>23</v>
      </c>
      <c r="L16" s="14">
        <v>22</v>
      </c>
    </row>
    <row r="17" spans="1:12" x14ac:dyDescent="0.25">
      <c r="A17" s="8">
        <v>15</v>
      </c>
      <c r="B17" s="6" t="s">
        <v>112</v>
      </c>
      <c r="C17" s="7">
        <v>11190750</v>
      </c>
      <c r="D17" s="7">
        <v>13801569</v>
      </c>
      <c r="E17" s="10">
        <v>23.3</v>
      </c>
      <c r="F17" s="11">
        <v>1.36</v>
      </c>
      <c r="G17" s="11">
        <v>2.3199999999999998</v>
      </c>
      <c r="H17" s="10">
        <v>0.96</v>
      </c>
      <c r="I17" s="7">
        <v>27490898</v>
      </c>
      <c r="J17" s="7">
        <v>35496002</v>
      </c>
      <c r="K17" s="8">
        <v>7</v>
      </c>
      <c r="L17" s="8">
        <v>5</v>
      </c>
    </row>
    <row r="18" spans="1:12" x14ac:dyDescent="0.25">
      <c r="A18" s="14">
        <v>16</v>
      </c>
      <c r="B18" s="12" t="s">
        <v>113</v>
      </c>
      <c r="C18" s="13">
        <v>11724228</v>
      </c>
      <c r="D18" s="13">
        <v>12173720</v>
      </c>
      <c r="E18" s="10">
        <v>3.8</v>
      </c>
      <c r="F18" s="15">
        <v>1.43</v>
      </c>
      <c r="G18" s="15">
        <v>2.0499999999999998</v>
      </c>
      <c r="H18" s="10">
        <v>0.62</v>
      </c>
      <c r="I18" s="13">
        <v>23922901</v>
      </c>
      <c r="J18" s="13">
        <v>25364543</v>
      </c>
      <c r="K18" s="14">
        <v>31</v>
      </c>
      <c r="L18" s="14">
        <v>32</v>
      </c>
    </row>
    <row r="19" spans="1:12" x14ac:dyDescent="0.25">
      <c r="A19" s="8">
        <v>17</v>
      </c>
      <c r="B19" s="6" t="s">
        <v>114</v>
      </c>
      <c r="C19" s="7">
        <v>14811942</v>
      </c>
      <c r="D19" s="7">
        <v>10001924</v>
      </c>
      <c r="E19" s="9">
        <v>-32.5</v>
      </c>
      <c r="F19" s="11">
        <v>1.8</v>
      </c>
      <c r="G19" s="11">
        <v>1.68</v>
      </c>
      <c r="H19" s="9">
        <v>-0.12</v>
      </c>
      <c r="I19" s="7">
        <v>11006418</v>
      </c>
      <c r="J19" s="7">
        <v>6816317</v>
      </c>
      <c r="K19" s="8">
        <v>19</v>
      </c>
      <c r="L19" s="8">
        <v>18</v>
      </c>
    </row>
    <row r="20" spans="1:12" x14ac:dyDescent="0.25">
      <c r="A20" s="14">
        <v>18</v>
      </c>
      <c r="B20" s="12" t="s">
        <v>115</v>
      </c>
      <c r="C20" s="13">
        <v>7969384</v>
      </c>
      <c r="D20" s="13">
        <v>9692822</v>
      </c>
      <c r="E20" s="10">
        <v>21.6</v>
      </c>
      <c r="F20" s="15">
        <v>0.97</v>
      </c>
      <c r="G20" s="15">
        <v>1.63</v>
      </c>
      <c r="H20" s="10">
        <v>0.66</v>
      </c>
      <c r="I20" s="13">
        <v>25264517</v>
      </c>
      <c r="J20" s="13">
        <v>29833420</v>
      </c>
      <c r="K20" s="14">
        <v>14</v>
      </c>
      <c r="L20" s="14">
        <v>10</v>
      </c>
    </row>
    <row r="21" spans="1:12" x14ac:dyDescent="0.25">
      <c r="A21" s="8">
        <v>19</v>
      </c>
      <c r="B21" s="6" t="s">
        <v>116</v>
      </c>
      <c r="C21" s="7">
        <v>11706425</v>
      </c>
      <c r="D21" s="7">
        <v>9506153</v>
      </c>
      <c r="E21" s="9">
        <v>-18.8</v>
      </c>
      <c r="F21" s="11">
        <v>1.42</v>
      </c>
      <c r="G21" s="11">
        <v>1.6</v>
      </c>
      <c r="H21" s="10">
        <v>0.18</v>
      </c>
      <c r="I21" s="7">
        <v>24506009</v>
      </c>
      <c r="J21" s="7">
        <v>20360500</v>
      </c>
      <c r="K21" s="8">
        <v>14</v>
      </c>
      <c r="L21" s="8">
        <v>7</v>
      </c>
    </row>
    <row r="22" spans="1:12" x14ac:dyDescent="0.25">
      <c r="A22" s="14">
        <v>20</v>
      </c>
      <c r="B22" s="12" t="s">
        <v>117</v>
      </c>
      <c r="C22" s="13">
        <v>7848413</v>
      </c>
      <c r="D22" s="13">
        <v>7904874</v>
      </c>
      <c r="E22" s="10">
        <v>0.7</v>
      </c>
      <c r="F22" s="15">
        <v>0.95</v>
      </c>
      <c r="G22" s="15">
        <v>1.33</v>
      </c>
      <c r="H22" s="10">
        <v>0.38</v>
      </c>
      <c r="I22" s="13">
        <v>9991218</v>
      </c>
      <c r="J22" s="13">
        <v>10057087</v>
      </c>
      <c r="K22" s="14">
        <v>51</v>
      </c>
      <c r="L22" s="14">
        <v>52</v>
      </c>
    </row>
    <row r="23" spans="1:12" x14ac:dyDescent="0.25">
      <c r="A23" s="8">
        <v>21</v>
      </c>
      <c r="B23" s="6" t="s">
        <v>118</v>
      </c>
      <c r="C23" s="7">
        <v>9632463</v>
      </c>
      <c r="D23" s="7">
        <v>7177713</v>
      </c>
      <c r="E23" s="9">
        <v>-25.5</v>
      </c>
      <c r="F23" s="11">
        <v>1.17</v>
      </c>
      <c r="G23" s="11">
        <v>1.21</v>
      </c>
      <c r="H23" s="10">
        <v>0.04</v>
      </c>
      <c r="I23" s="7">
        <v>35835393</v>
      </c>
      <c r="J23" s="7">
        <v>21408072</v>
      </c>
      <c r="K23" s="8">
        <v>11</v>
      </c>
      <c r="L23" s="8">
        <v>12</v>
      </c>
    </row>
    <row r="24" spans="1:12" x14ac:dyDescent="0.25">
      <c r="A24" s="14">
        <v>22</v>
      </c>
      <c r="B24" s="12" t="s">
        <v>119</v>
      </c>
      <c r="C24" s="13">
        <v>4216291</v>
      </c>
      <c r="D24" s="13">
        <v>7116715</v>
      </c>
      <c r="E24" s="10">
        <v>68.8</v>
      </c>
      <c r="F24" s="15">
        <v>0.51</v>
      </c>
      <c r="G24" s="15">
        <v>1.2</v>
      </c>
      <c r="H24" s="10">
        <v>0.69</v>
      </c>
      <c r="I24" s="13">
        <v>8004422</v>
      </c>
      <c r="J24" s="13">
        <v>16521547</v>
      </c>
      <c r="K24" s="14">
        <v>6</v>
      </c>
      <c r="L24" s="14">
        <v>4</v>
      </c>
    </row>
    <row r="25" spans="1:12" x14ac:dyDescent="0.25">
      <c r="A25" s="8">
        <v>23</v>
      </c>
      <c r="B25" s="6" t="s">
        <v>120</v>
      </c>
      <c r="C25" s="7">
        <v>5204495</v>
      </c>
      <c r="D25" s="7">
        <v>7069848</v>
      </c>
      <c r="E25" s="10">
        <v>35.799999999999997</v>
      </c>
      <c r="F25" s="11">
        <v>0.63</v>
      </c>
      <c r="G25" s="11">
        <v>1.19</v>
      </c>
      <c r="H25" s="10">
        <v>0.56000000000000005</v>
      </c>
      <c r="I25" s="7">
        <v>6778430</v>
      </c>
      <c r="J25" s="7">
        <v>10088860</v>
      </c>
      <c r="K25" s="8">
        <v>11</v>
      </c>
      <c r="L25" s="8">
        <v>5</v>
      </c>
    </row>
    <row r="26" spans="1:12" x14ac:dyDescent="0.25">
      <c r="A26" s="14">
        <v>24</v>
      </c>
      <c r="B26" s="12" t="s">
        <v>121</v>
      </c>
      <c r="C26" s="13">
        <v>3620971</v>
      </c>
      <c r="D26" s="13">
        <v>6528313</v>
      </c>
      <c r="E26" s="10">
        <v>80.3</v>
      </c>
      <c r="F26" s="15">
        <v>0.44</v>
      </c>
      <c r="G26" s="15">
        <v>1.1000000000000001</v>
      </c>
      <c r="H26" s="10">
        <v>0.66</v>
      </c>
      <c r="I26" s="13">
        <v>6220045</v>
      </c>
      <c r="J26" s="13">
        <v>11274334</v>
      </c>
      <c r="K26" s="14">
        <v>37</v>
      </c>
      <c r="L26" s="14">
        <v>38</v>
      </c>
    </row>
    <row r="27" spans="1:12" x14ac:dyDescent="0.25">
      <c r="A27" s="8">
        <v>25</v>
      </c>
      <c r="B27" s="6" t="s">
        <v>122</v>
      </c>
      <c r="C27" s="7">
        <v>9099795</v>
      </c>
      <c r="D27" s="7">
        <v>6401829</v>
      </c>
      <c r="E27" s="9">
        <v>-29.6</v>
      </c>
      <c r="F27" s="11">
        <v>1.1100000000000001</v>
      </c>
      <c r="G27" s="11">
        <v>1.08</v>
      </c>
      <c r="H27" s="9">
        <v>-0.03</v>
      </c>
      <c r="I27" s="7">
        <v>10585974</v>
      </c>
      <c r="J27" s="7">
        <v>4651419</v>
      </c>
      <c r="K27" s="8">
        <v>17</v>
      </c>
      <c r="L27" s="8">
        <v>15</v>
      </c>
    </row>
  </sheetData>
  <mergeCells count="1">
    <mergeCell ref="A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
  <sheetViews>
    <sheetView workbookViewId="0">
      <pane xSplit="1" ySplit="2" topLeftCell="B3" activePane="bottomRight" state="frozen"/>
      <selection pane="topRight" activeCell="B1" sqref="B1"/>
      <selection pane="bottomLeft" activeCell="A3" sqref="A3"/>
      <selection pane="bottomRight" sqref="A1:J1"/>
    </sheetView>
  </sheetViews>
  <sheetFormatPr defaultRowHeight="15" x14ac:dyDescent="0.25"/>
  <cols>
    <col min="1" max="1" width="16.7109375" customWidth="1"/>
    <col min="2" max="3" width="15.7109375" customWidth="1"/>
    <col min="4" max="4" width="18.7109375" customWidth="1"/>
    <col min="5" max="6" width="17.7109375" customWidth="1"/>
    <col min="7" max="7" width="20.7109375" customWidth="1"/>
    <col min="8" max="9" width="21.7109375" customWidth="1"/>
    <col min="10" max="10" width="19.7109375" customWidth="1"/>
  </cols>
  <sheetData>
    <row r="1" spans="1:10" ht="20.100000000000001" customHeight="1" x14ac:dyDescent="0.25">
      <c r="A1" s="18" t="s">
        <v>16</v>
      </c>
      <c r="B1" s="18"/>
      <c r="C1" s="18"/>
      <c r="D1" s="18"/>
      <c r="E1" s="18"/>
      <c r="F1" s="18"/>
      <c r="G1" s="18"/>
      <c r="H1" s="18"/>
      <c r="I1" s="18"/>
      <c r="J1" s="18"/>
    </row>
    <row r="2" spans="1:10" ht="39.950000000000003" customHeight="1" x14ac:dyDescent="0.25">
      <c r="A2" s="5" t="s">
        <v>48</v>
      </c>
      <c r="B2" s="5" t="s">
        <v>123</v>
      </c>
      <c r="C2" s="5" t="s">
        <v>124</v>
      </c>
      <c r="D2" s="5" t="s">
        <v>125</v>
      </c>
      <c r="E2" s="5" t="s">
        <v>126</v>
      </c>
      <c r="F2" s="5" t="s">
        <v>127</v>
      </c>
      <c r="G2" s="5" t="s">
        <v>128</v>
      </c>
      <c r="H2" s="5" t="s">
        <v>129</v>
      </c>
      <c r="I2" s="5" t="s">
        <v>130</v>
      </c>
      <c r="J2" s="5" t="s">
        <v>131</v>
      </c>
    </row>
    <row r="3" spans="1:10" x14ac:dyDescent="0.25">
      <c r="A3" s="6" t="s">
        <v>49</v>
      </c>
      <c r="B3" s="7">
        <v>49392565</v>
      </c>
      <c r="C3" s="7">
        <v>21387307</v>
      </c>
      <c r="D3" s="9">
        <v>-56.7</v>
      </c>
      <c r="E3" s="7">
        <v>140857878</v>
      </c>
      <c r="F3" s="7">
        <v>119073057</v>
      </c>
      <c r="G3" s="9">
        <v>-15.5</v>
      </c>
      <c r="H3" s="11">
        <v>35.07</v>
      </c>
      <c r="I3" s="11">
        <v>17.96</v>
      </c>
      <c r="J3" s="9">
        <v>-17.11</v>
      </c>
    </row>
    <row r="4" spans="1:10" x14ac:dyDescent="0.25">
      <c r="A4" s="12" t="s">
        <v>50</v>
      </c>
      <c r="B4" s="13">
        <v>59523906</v>
      </c>
      <c r="C4" s="13">
        <v>26945089</v>
      </c>
      <c r="D4" s="9">
        <v>-54.7</v>
      </c>
      <c r="E4" s="13">
        <v>159082566</v>
      </c>
      <c r="F4" s="13">
        <v>122457067</v>
      </c>
      <c r="G4" s="9">
        <v>-23</v>
      </c>
      <c r="H4" s="15">
        <v>37.42</v>
      </c>
      <c r="I4" s="15">
        <v>22</v>
      </c>
      <c r="J4" s="9">
        <v>-15.42</v>
      </c>
    </row>
    <row r="5" spans="1:10" x14ac:dyDescent="0.25">
      <c r="A5" s="6" t="s">
        <v>51</v>
      </c>
      <c r="B5" s="7">
        <v>71716294</v>
      </c>
      <c r="C5" s="7">
        <v>28861807</v>
      </c>
      <c r="D5" s="9">
        <v>-59.8</v>
      </c>
      <c r="E5" s="7">
        <v>171765775</v>
      </c>
      <c r="F5" s="7">
        <v>139100860</v>
      </c>
      <c r="G5" s="9">
        <v>-19</v>
      </c>
      <c r="H5" s="11">
        <v>41.75</v>
      </c>
      <c r="I5" s="11">
        <v>20.75</v>
      </c>
      <c r="J5" s="9">
        <v>-21</v>
      </c>
    </row>
    <row r="6" spans="1:10" x14ac:dyDescent="0.25">
      <c r="A6" s="12" t="s">
        <v>52</v>
      </c>
      <c r="B6" s="13">
        <v>70304743</v>
      </c>
      <c r="C6" s="13">
        <v>47691681</v>
      </c>
      <c r="D6" s="9">
        <v>-32.200000000000003</v>
      </c>
      <c r="E6" s="13">
        <v>176527546</v>
      </c>
      <c r="F6" s="13">
        <v>160218276</v>
      </c>
      <c r="G6" s="9">
        <v>-9.1999999999999993</v>
      </c>
      <c r="H6" s="15">
        <v>39.83</v>
      </c>
      <c r="I6" s="15">
        <v>29.77</v>
      </c>
      <c r="J6" s="9">
        <v>-10.06</v>
      </c>
    </row>
    <row r="7" spans="1:10" x14ac:dyDescent="0.25">
      <c r="A7" s="6" t="s">
        <v>53</v>
      </c>
      <c r="B7" s="7">
        <v>71219632</v>
      </c>
      <c r="C7" s="7">
        <v>49530279</v>
      </c>
      <c r="D7" s="9">
        <v>-30.5</v>
      </c>
      <c r="E7" s="7">
        <v>174015532</v>
      </c>
      <c r="F7" s="7">
        <v>162843511</v>
      </c>
      <c r="G7" s="9">
        <v>-6.4</v>
      </c>
      <c r="H7" s="11">
        <v>40.93</v>
      </c>
      <c r="I7" s="11">
        <v>30.42</v>
      </c>
      <c r="J7" s="9">
        <v>-10.51</v>
      </c>
    </row>
    <row r="8" spans="1:10" x14ac:dyDescent="0.25">
      <c r="A8" s="12" t="s">
        <v>54</v>
      </c>
      <c r="B8" s="13">
        <v>322157140</v>
      </c>
      <c r="C8" s="13">
        <v>174416163</v>
      </c>
      <c r="D8" s="9">
        <v>-45.9</v>
      </c>
      <c r="E8" s="13">
        <v>822249297</v>
      </c>
      <c r="F8" s="13">
        <v>703692771</v>
      </c>
      <c r="G8" s="9">
        <v>-14.4</v>
      </c>
      <c r="H8" s="15">
        <v>39.18</v>
      </c>
      <c r="I8" s="15">
        <v>24.79</v>
      </c>
      <c r="J8" s="9">
        <v>-14.39</v>
      </c>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8"/>
  <sheetViews>
    <sheetView workbookViewId="0">
      <pane xSplit="2" ySplit="2" topLeftCell="C3" activePane="bottomRight" state="frozen"/>
      <selection pane="topRight" activeCell="C1" sqref="C1"/>
      <selection pane="bottomLeft" activeCell="A3" sqref="A3"/>
      <selection pane="bottomRight" sqref="A1:J1"/>
    </sheetView>
  </sheetViews>
  <sheetFormatPr defaultRowHeight="15" x14ac:dyDescent="0.25"/>
  <cols>
    <col min="1" max="1" width="29.7109375" customWidth="1"/>
    <col min="2" max="2" width="14.7109375" customWidth="1"/>
    <col min="3" max="3" width="15.7109375" customWidth="1"/>
    <col min="4" max="4" width="16.7109375" customWidth="1"/>
    <col min="5" max="5" width="14.7109375" customWidth="1"/>
    <col min="6" max="6" width="15.7109375" customWidth="1"/>
    <col min="7" max="7" width="16.7109375" customWidth="1"/>
    <col min="8" max="9" width="17.7109375" customWidth="1"/>
    <col min="10" max="10" width="14.7109375" customWidth="1"/>
  </cols>
  <sheetData>
    <row r="1" spans="1:10" ht="20.100000000000001" customHeight="1" x14ac:dyDescent="0.25">
      <c r="A1" s="18" t="s">
        <v>18</v>
      </c>
      <c r="B1" s="18"/>
      <c r="C1" s="18"/>
      <c r="D1" s="18"/>
      <c r="E1" s="18"/>
      <c r="F1" s="18"/>
      <c r="G1" s="18"/>
      <c r="H1" s="18"/>
      <c r="I1" s="18"/>
      <c r="J1" s="18"/>
    </row>
    <row r="2" spans="1:10" ht="39.950000000000003" customHeight="1" x14ac:dyDescent="0.25">
      <c r="A2" s="5" t="s">
        <v>23</v>
      </c>
      <c r="B2" s="5" t="s">
        <v>132</v>
      </c>
      <c r="C2" s="5" t="s">
        <v>133</v>
      </c>
      <c r="D2" s="5" t="s">
        <v>134</v>
      </c>
      <c r="E2" s="5" t="s">
        <v>135</v>
      </c>
      <c r="F2" s="5" t="s">
        <v>136</v>
      </c>
      <c r="G2" s="5" t="s">
        <v>137</v>
      </c>
      <c r="H2" s="5" t="s">
        <v>138</v>
      </c>
      <c r="I2" s="5" t="s">
        <v>139</v>
      </c>
      <c r="J2" s="5" t="s">
        <v>140</v>
      </c>
    </row>
    <row r="3" spans="1:10" x14ac:dyDescent="0.25">
      <c r="A3" s="6" t="s">
        <v>42</v>
      </c>
      <c r="B3" s="7">
        <v>539476441</v>
      </c>
      <c r="C3" s="7">
        <v>1440710735</v>
      </c>
      <c r="D3" s="11">
        <v>37.450000000000003</v>
      </c>
      <c r="E3" s="7">
        <v>453832619</v>
      </c>
      <c r="F3" s="7">
        <v>1212564869</v>
      </c>
      <c r="G3" s="11">
        <v>37.43</v>
      </c>
      <c r="H3" s="9">
        <v>-15.9</v>
      </c>
      <c r="I3" s="9">
        <v>-15.8</v>
      </c>
      <c r="J3" s="9">
        <v>-0.02</v>
      </c>
    </row>
    <row r="4" spans="1:10" x14ac:dyDescent="0.25">
      <c r="A4" s="12" t="s">
        <v>43</v>
      </c>
      <c r="B4" s="13">
        <v>111831134</v>
      </c>
      <c r="C4" s="13">
        <v>286846231</v>
      </c>
      <c r="D4" s="15">
        <v>38.99</v>
      </c>
      <c r="E4" s="13">
        <v>78552941</v>
      </c>
      <c r="F4" s="13">
        <v>263473457</v>
      </c>
      <c r="G4" s="15">
        <v>29.81</v>
      </c>
      <c r="H4" s="9">
        <v>-29.8</v>
      </c>
      <c r="I4" s="9">
        <v>-8.1</v>
      </c>
      <c r="J4" s="9">
        <v>-9.18</v>
      </c>
    </row>
    <row r="5" spans="1:10" x14ac:dyDescent="0.25">
      <c r="A5" s="6" t="s">
        <v>44</v>
      </c>
      <c r="B5" s="7">
        <v>651307575</v>
      </c>
      <c r="C5" s="7">
        <v>1727556966</v>
      </c>
      <c r="D5" s="11">
        <v>37.700000000000003</v>
      </c>
      <c r="E5" s="7">
        <v>532385560</v>
      </c>
      <c r="F5" s="7">
        <v>1476038326</v>
      </c>
      <c r="G5" s="11">
        <v>36.07</v>
      </c>
      <c r="H5" s="9">
        <v>-18.3</v>
      </c>
      <c r="I5" s="9">
        <v>-14.6</v>
      </c>
      <c r="J5" s="9">
        <v>-1.63</v>
      </c>
    </row>
    <row r="6" spans="1:10" x14ac:dyDescent="0.25">
      <c r="A6" s="12" t="s">
        <v>45</v>
      </c>
      <c r="B6" s="13">
        <v>148851896</v>
      </c>
      <c r="C6" s="13">
        <v>5524096130</v>
      </c>
      <c r="D6" s="15">
        <v>2.69</v>
      </c>
      <c r="E6" s="13">
        <v>154426241</v>
      </c>
      <c r="F6" s="13">
        <v>5254672163</v>
      </c>
      <c r="G6" s="15">
        <v>2.94</v>
      </c>
      <c r="H6" s="10">
        <v>3.7</v>
      </c>
      <c r="I6" s="9">
        <v>-4.9000000000000004</v>
      </c>
      <c r="J6" s="10">
        <v>0.25</v>
      </c>
    </row>
    <row r="7" spans="1:10" x14ac:dyDescent="0.25">
      <c r="A7" s="6" t="s">
        <v>46</v>
      </c>
      <c r="B7" s="7">
        <v>22089826</v>
      </c>
      <c r="C7" s="7">
        <v>160373471</v>
      </c>
      <c r="D7" s="11">
        <v>13.77</v>
      </c>
      <c r="E7" s="7">
        <v>16880970</v>
      </c>
      <c r="F7" s="7">
        <v>160204927</v>
      </c>
      <c r="G7" s="11">
        <v>10.54</v>
      </c>
      <c r="H7" s="9">
        <v>-23.6</v>
      </c>
      <c r="I7" s="9">
        <v>-0.1</v>
      </c>
      <c r="J7" s="9">
        <v>-3.23</v>
      </c>
    </row>
    <row r="8" spans="1:10" x14ac:dyDescent="0.25">
      <c r="A8" s="12" t="s">
        <v>47</v>
      </c>
      <c r="B8" s="13">
        <v>822249297</v>
      </c>
      <c r="C8" s="13">
        <v>7412027942</v>
      </c>
      <c r="D8" s="15">
        <v>11.09</v>
      </c>
      <c r="E8" s="13">
        <v>703692771</v>
      </c>
      <c r="F8" s="13">
        <v>6890915416</v>
      </c>
      <c r="G8" s="15">
        <v>10.210000000000001</v>
      </c>
      <c r="H8" s="9">
        <v>-14.4</v>
      </c>
      <c r="I8" s="9">
        <v>-7</v>
      </c>
      <c r="J8" s="9">
        <v>-0.88</v>
      </c>
    </row>
  </sheetData>
  <mergeCells count="1">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1"/>
  <sheetViews>
    <sheetView workbookViewId="0">
      <pane xSplit="2" ySplit="2" topLeftCell="K3" activePane="bottomRight" state="frozen"/>
      <selection pane="topRight" activeCell="C1" sqref="C1"/>
      <selection pane="bottomLeft" activeCell="A3" sqref="A3"/>
      <selection pane="bottomRight" activeCell="N8" sqref="N8"/>
    </sheetView>
  </sheetViews>
  <sheetFormatPr defaultRowHeight="15" x14ac:dyDescent="0.25"/>
  <cols>
    <col min="1" max="1" width="29.7109375" customWidth="1"/>
    <col min="2" max="2" width="5.7109375" customWidth="1"/>
    <col min="3" max="4" width="12.7109375" customWidth="1"/>
    <col min="5" max="5" width="11.7109375" customWidth="1"/>
    <col min="6" max="7" width="15.7109375" customWidth="1"/>
    <col min="8" max="8" width="14.7109375" customWidth="1"/>
    <col min="9" max="10" width="17.7109375" customWidth="1"/>
    <col min="13" max="13" width="18" bestFit="1" customWidth="1"/>
    <col min="14" max="14" width="26.28515625" bestFit="1" customWidth="1"/>
    <col min="15" max="15" width="22.42578125" bestFit="1" customWidth="1"/>
    <col min="16" max="16" width="20.28515625" bestFit="1" customWidth="1"/>
  </cols>
  <sheetData>
    <row r="1" spans="1:16" ht="20.100000000000001" customHeight="1" x14ac:dyDescent="0.25">
      <c r="A1" s="18" t="s">
        <v>20</v>
      </c>
      <c r="B1" s="18"/>
      <c r="C1" s="18"/>
      <c r="D1" s="18"/>
      <c r="E1" s="18"/>
      <c r="F1" s="18"/>
      <c r="G1" s="18"/>
      <c r="H1" s="18"/>
      <c r="I1" s="18"/>
      <c r="J1" s="18"/>
    </row>
    <row r="2" spans="1:16" ht="39.950000000000003" customHeight="1" x14ac:dyDescent="0.25">
      <c r="A2" s="5" t="s">
        <v>23</v>
      </c>
      <c r="B2" s="5" t="s">
        <v>141</v>
      </c>
      <c r="C2" s="5" t="s">
        <v>142</v>
      </c>
      <c r="D2" s="5" t="s">
        <v>56</v>
      </c>
      <c r="E2" s="5" t="s">
        <v>143</v>
      </c>
      <c r="F2" s="5" t="s">
        <v>24</v>
      </c>
      <c r="G2" s="5" t="s">
        <v>30</v>
      </c>
      <c r="H2" s="5" t="s">
        <v>144</v>
      </c>
      <c r="I2" s="5" t="s">
        <v>95</v>
      </c>
      <c r="J2" s="5" t="s">
        <v>96</v>
      </c>
    </row>
    <row r="3" spans="1:16" x14ac:dyDescent="0.25">
      <c r="A3" s="6" t="s">
        <v>46</v>
      </c>
      <c r="B3" s="6" t="s">
        <v>145</v>
      </c>
      <c r="C3" s="8">
        <v>1</v>
      </c>
      <c r="D3" s="8">
        <v>1</v>
      </c>
      <c r="E3" s="15">
        <v>0</v>
      </c>
      <c r="F3" s="7">
        <v>49023439</v>
      </c>
      <c r="G3" s="7">
        <v>46125833</v>
      </c>
      <c r="H3" s="9">
        <v>-5.9</v>
      </c>
      <c r="I3" s="11">
        <v>30.57</v>
      </c>
      <c r="J3" s="11">
        <v>28.79</v>
      </c>
      <c r="M3" s="21" t="s">
        <v>23</v>
      </c>
      <c r="N3" t="s">
        <v>44</v>
      </c>
    </row>
    <row r="4" spans="1:16" x14ac:dyDescent="0.25">
      <c r="A4" s="12" t="s">
        <v>46</v>
      </c>
      <c r="B4" s="12" t="s">
        <v>146</v>
      </c>
      <c r="C4" s="14">
        <v>3</v>
      </c>
      <c r="D4" s="14">
        <v>2</v>
      </c>
      <c r="E4" s="10">
        <v>1</v>
      </c>
      <c r="F4" s="13">
        <v>20610181</v>
      </c>
      <c r="G4" s="13">
        <v>19566832</v>
      </c>
      <c r="H4" s="9">
        <v>-5.0999999999999996</v>
      </c>
      <c r="I4" s="15">
        <v>12.85</v>
      </c>
      <c r="J4" s="15">
        <v>12.21</v>
      </c>
    </row>
    <row r="5" spans="1:16" x14ac:dyDescent="0.25">
      <c r="A5" s="6" t="s">
        <v>46</v>
      </c>
      <c r="B5" s="6" t="s">
        <v>147</v>
      </c>
      <c r="C5" s="8">
        <v>5</v>
      </c>
      <c r="D5" s="8">
        <v>3</v>
      </c>
      <c r="E5" s="10">
        <v>2</v>
      </c>
      <c r="F5" s="7">
        <v>15029945</v>
      </c>
      <c r="G5" s="7">
        <v>19201643</v>
      </c>
      <c r="H5" s="10">
        <v>27.8</v>
      </c>
      <c r="I5" s="11">
        <v>9.3699999999999992</v>
      </c>
      <c r="J5" s="11">
        <v>11.99</v>
      </c>
      <c r="M5" s="21" t="s">
        <v>169</v>
      </c>
      <c r="N5" t="s">
        <v>172</v>
      </c>
      <c r="O5" t="s">
        <v>171</v>
      </c>
      <c r="P5" t="s">
        <v>174</v>
      </c>
    </row>
    <row r="6" spans="1:16" x14ac:dyDescent="0.25">
      <c r="A6" s="12" t="s">
        <v>46</v>
      </c>
      <c r="B6" s="12" t="s">
        <v>148</v>
      </c>
      <c r="C6" s="14">
        <v>4</v>
      </c>
      <c r="D6" s="14">
        <v>4</v>
      </c>
      <c r="E6" s="15">
        <v>0</v>
      </c>
      <c r="F6" s="13">
        <v>20134214</v>
      </c>
      <c r="G6" s="13">
        <v>18513052</v>
      </c>
      <c r="H6" s="9">
        <v>-8.1</v>
      </c>
      <c r="I6" s="15">
        <v>12.55</v>
      </c>
      <c r="J6" s="15">
        <v>11.56</v>
      </c>
      <c r="M6" s="22" t="s">
        <v>149</v>
      </c>
      <c r="N6" s="23">
        <v>651307575</v>
      </c>
      <c r="O6" s="23">
        <v>532385560</v>
      </c>
      <c r="P6" s="24">
        <v>-18.3</v>
      </c>
    </row>
    <row r="7" spans="1:16" x14ac:dyDescent="0.25">
      <c r="A7" s="6" t="s">
        <v>46</v>
      </c>
      <c r="B7" s="6" t="s">
        <v>149</v>
      </c>
      <c r="C7" s="8">
        <v>2</v>
      </c>
      <c r="D7" s="8">
        <v>5</v>
      </c>
      <c r="E7" s="9">
        <v>-3</v>
      </c>
      <c r="F7" s="7">
        <v>22089826</v>
      </c>
      <c r="G7" s="7">
        <v>16880970</v>
      </c>
      <c r="H7" s="9">
        <v>-23.6</v>
      </c>
      <c r="I7" s="11">
        <v>13.77</v>
      </c>
      <c r="J7" s="11">
        <v>10.54</v>
      </c>
      <c r="M7" s="22" t="s">
        <v>154</v>
      </c>
      <c r="N7" s="23">
        <v>594368069</v>
      </c>
      <c r="O7" s="23">
        <v>439178554</v>
      </c>
      <c r="P7" s="24">
        <v>-26.1</v>
      </c>
    </row>
    <row r="8" spans="1:16" x14ac:dyDescent="0.25">
      <c r="A8" s="12" t="s">
        <v>46</v>
      </c>
      <c r="B8" s="12" t="s">
        <v>150</v>
      </c>
      <c r="C8" s="14">
        <v>8</v>
      </c>
      <c r="D8" s="14">
        <v>6</v>
      </c>
      <c r="E8" s="10">
        <v>2</v>
      </c>
      <c r="F8" s="13">
        <v>7628822</v>
      </c>
      <c r="G8" s="13">
        <v>11074509</v>
      </c>
      <c r="H8" s="10">
        <v>45.2</v>
      </c>
      <c r="I8" s="15">
        <v>4.76</v>
      </c>
      <c r="J8" s="15">
        <v>6.91</v>
      </c>
      <c r="M8" s="22" t="s">
        <v>146</v>
      </c>
      <c r="N8" s="23">
        <v>191582676</v>
      </c>
      <c r="O8" s="23">
        <v>202213732</v>
      </c>
      <c r="P8" s="24">
        <v>5.5</v>
      </c>
    </row>
    <row r="9" spans="1:16" x14ac:dyDescent="0.25">
      <c r="A9" s="6" t="s">
        <v>46</v>
      </c>
      <c r="B9" s="6" t="s">
        <v>151</v>
      </c>
      <c r="C9" s="8">
        <v>7</v>
      </c>
      <c r="D9" s="8">
        <v>7</v>
      </c>
      <c r="E9" s="15">
        <v>0</v>
      </c>
      <c r="F9" s="7">
        <v>8630432</v>
      </c>
      <c r="G9" s="7">
        <v>10188303</v>
      </c>
      <c r="H9" s="10">
        <v>18.100000000000001</v>
      </c>
      <c r="I9" s="11">
        <v>5.38</v>
      </c>
      <c r="J9" s="11">
        <v>6.36</v>
      </c>
      <c r="M9" s="22" t="s">
        <v>152</v>
      </c>
      <c r="N9" s="23">
        <v>65743066</v>
      </c>
      <c r="O9" s="23">
        <v>100839887</v>
      </c>
      <c r="P9" s="24">
        <v>53.4</v>
      </c>
    </row>
    <row r="10" spans="1:16" x14ac:dyDescent="0.25">
      <c r="A10" s="12" t="s">
        <v>46</v>
      </c>
      <c r="B10" s="12" t="s">
        <v>152</v>
      </c>
      <c r="C10" s="14">
        <v>6</v>
      </c>
      <c r="D10" s="14">
        <v>8</v>
      </c>
      <c r="E10" s="9">
        <v>-2</v>
      </c>
      <c r="F10" s="13">
        <v>9036356</v>
      </c>
      <c r="G10" s="13">
        <v>7312990</v>
      </c>
      <c r="H10" s="9">
        <v>-19.100000000000001</v>
      </c>
      <c r="I10" s="15">
        <v>5.63</v>
      </c>
      <c r="J10" s="15">
        <v>4.5599999999999996</v>
      </c>
      <c r="M10" s="22" t="s">
        <v>151</v>
      </c>
      <c r="N10" s="23">
        <v>120764620</v>
      </c>
      <c r="O10" s="23">
        <v>96844319</v>
      </c>
      <c r="P10" s="24">
        <v>-19.8</v>
      </c>
    </row>
    <row r="11" spans="1:16" x14ac:dyDescent="0.25">
      <c r="A11" s="6" t="s">
        <v>47</v>
      </c>
      <c r="B11" s="6" t="s">
        <v>151</v>
      </c>
      <c r="C11" s="8">
        <v>2</v>
      </c>
      <c r="D11" s="8">
        <v>1</v>
      </c>
      <c r="E11" s="10">
        <v>1</v>
      </c>
      <c r="F11" s="7">
        <v>1286645189</v>
      </c>
      <c r="G11" s="7">
        <v>1458548224</v>
      </c>
      <c r="H11" s="10">
        <v>13.4</v>
      </c>
      <c r="I11" s="11">
        <v>17.36</v>
      </c>
      <c r="J11" s="11">
        <v>21.17</v>
      </c>
      <c r="M11" s="22" t="s">
        <v>158</v>
      </c>
      <c r="N11" s="23">
        <v>32223112</v>
      </c>
      <c r="O11" s="23">
        <v>33624033</v>
      </c>
      <c r="P11" s="24">
        <v>4.3</v>
      </c>
    </row>
    <row r="12" spans="1:16" x14ac:dyDescent="0.25">
      <c r="A12" s="12" t="s">
        <v>47</v>
      </c>
      <c r="B12" s="12" t="s">
        <v>153</v>
      </c>
      <c r="C12" s="14">
        <v>1</v>
      </c>
      <c r="D12" s="14">
        <v>2</v>
      </c>
      <c r="E12" s="9">
        <v>-1</v>
      </c>
      <c r="F12" s="13">
        <v>1448646342</v>
      </c>
      <c r="G12" s="13">
        <v>1128060444</v>
      </c>
      <c r="H12" s="9">
        <v>-22.1</v>
      </c>
      <c r="I12" s="15">
        <v>19.54</v>
      </c>
      <c r="J12" s="15">
        <v>16.37</v>
      </c>
      <c r="M12" s="22" t="s">
        <v>147</v>
      </c>
      <c r="N12" s="23">
        <v>25402611</v>
      </c>
      <c r="O12" s="23">
        <v>27572536</v>
      </c>
      <c r="P12" s="24">
        <v>8.5</v>
      </c>
    </row>
    <row r="13" spans="1:16" x14ac:dyDescent="0.25">
      <c r="A13" s="6" t="s">
        <v>47</v>
      </c>
      <c r="B13" s="6" t="s">
        <v>154</v>
      </c>
      <c r="C13" s="8">
        <v>3</v>
      </c>
      <c r="D13" s="8">
        <v>3</v>
      </c>
      <c r="E13" s="15">
        <v>0</v>
      </c>
      <c r="F13" s="7">
        <v>1167887896</v>
      </c>
      <c r="G13" s="7">
        <v>1097510529</v>
      </c>
      <c r="H13" s="9">
        <v>-6</v>
      </c>
      <c r="I13" s="11">
        <v>15.76</v>
      </c>
      <c r="J13" s="11">
        <v>15.93</v>
      </c>
      <c r="M13" s="22" t="s">
        <v>159</v>
      </c>
      <c r="N13" s="23">
        <v>24808030</v>
      </c>
      <c r="O13" s="23">
        <v>24897634</v>
      </c>
      <c r="P13" s="24">
        <v>0.4</v>
      </c>
    </row>
    <row r="14" spans="1:16" x14ac:dyDescent="0.25">
      <c r="A14" s="12" t="s">
        <v>47</v>
      </c>
      <c r="B14" s="12" t="s">
        <v>149</v>
      </c>
      <c r="C14" s="14">
        <v>4</v>
      </c>
      <c r="D14" s="14">
        <v>4</v>
      </c>
      <c r="E14" s="15">
        <v>0</v>
      </c>
      <c r="F14" s="13">
        <v>822249297</v>
      </c>
      <c r="G14" s="13">
        <v>703692771</v>
      </c>
      <c r="H14" s="9">
        <v>-14.4</v>
      </c>
      <c r="I14" s="15">
        <v>11.09</v>
      </c>
      <c r="J14" s="15">
        <v>10.210000000000001</v>
      </c>
      <c r="M14" s="22" t="s">
        <v>170</v>
      </c>
      <c r="N14" s="23">
        <v>1706199759</v>
      </c>
      <c r="O14" s="23">
        <v>1457556255</v>
      </c>
      <c r="P14" s="24">
        <v>7.8999999999999986</v>
      </c>
    </row>
    <row r="15" spans="1:16" x14ac:dyDescent="0.25">
      <c r="A15" s="6" t="s">
        <v>47</v>
      </c>
      <c r="B15" s="6" t="s">
        <v>146</v>
      </c>
      <c r="C15" s="8">
        <v>5</v>
      </c>
      <c r="D15" s="8">
        <v>5</v>
      </c>
      <c r="E15" s="15">
        <v>0</v>
      </c>
      <c r="F15" s="7">
        <v>616476192</v>
      </c>
      <c r="G15" s="7">
        <v>614647853</v>
      </c>
      <c r="H15" s="9">
        <v>-0.3</v>
      </c>
      <c r="I15" s="11">
        <v>8.32</v>
      </c>
      <c r="J15" s="11">
        <v>8.92</v>
      </c>
    </row>
    <row r="16" spans="1:16" x14ac:dyDescent="0.25">
      <c r="A16" s="12" t="s">
        <v>47</v>
      </c>
      <c r="B16" s="12" t="s">
        <v>155</v>
      </c>
      <c r="C16" s="14">
        <v>6</v>
      </c>
      <c r="D16" s="14">
        <v>6</v>
      </c>
      <c r="E16" s="15">
        <v>0</v>
      </c>
      <c r="F16" s="13">
        <v>598073039</v>
      </c>
      <c r="G16" s="13">
        <v>530478570</v>
      </c>
      <c r="H16" s="9">
        <v>-11.3</v>
      </c>
      <c r="I16" s="15">
        <v>8.07</v>
      </c>
      <c r="J16" s="15">
        <v>7.7</v>
      </c>
    </row>
    <row r="17" spans="1:16" x14ac:dyDescent="0.25">
      <c r="A17" s="6" t="s">
        <v>47</v>
      </c>
      <c r="B17" s="6" t="s">
        <v>156</v>
      </c>
      <c r="C17" s="8">
        <v>7</v>
      </c>
      <c r="D17" s="8">
        <v>7</v>
      </c>
      <c r="E17" s="15">
        <v>0</v>
      </c>
      <c r="F17" s="7">
        <v>469728475</v>
      </c>
      <c r="G17" s="7">
        <v>451564703</v>
      </c>
      <c r="H17" s="9">
        <v>-3.9</v>
      </c>
      <c r="I17" s="11">
        <v>6.34</v>
      </c>
      <c r="J17" s="11">
        <v>6.55</v>
      </c>
    </row>
    <row r="18" spans="1:16" x14ac:dyDescent="0.25">
      <c r="A18" s="12" t="s">
        <v>47</v>
      </c>
      <c r="B18" s="12" t="s">
        <v>157</v>
      </c>
      <c r="C18" s="14">
        <v>8</v>
      </c>
      <c r="D18" s="14">
        <v>8</v>
      </c>
      <c r="E18" s="15">
        <v>0</v>
      </c>
      <c r="F18" s="13">
        <v>391903707</v>
      </c>
      <c r="G18" s="13">
        <v>304887939</v>
      </c>
      <c r="H18" s="9">
        <v>-22.2</v>
      </c>
      <c r="I18" s="15">
        <v>5.29</v>
      </c>
      <c r="J18" s="15">
        <v>4.42</v>
      </c>
    </row>
    <row r="19" spans="1:16" x14ac:dyDescent="0.25">
      <c r="A19" s="6" t="s">
        <v>42</v>
      </c>
      <c r="B19" s="6" t="s">
        <v>149</v>
      </c>
      <c r="C19" s="8">
        <v>2</v>
      </c>
      <c r="D19" s="8">
        <v>1</v>
      </c>
      <c r="E19" s="10">
        <v>1</v>
      </c>
      <c r="F19" s="7">
        <v>539476441</v>
      </c>
      <c r="G19" s="7">
        <v>453832619</v>
      </c>
      <c r="H19" s="9">
        <v>-15.9</v>
      </c>
      <c r="I19" s="11">
        <v>37.450000000000003</v>
      </c>
      <c r="J19" s="11">
        <v>37.43</v>
      </c>
    </row>
    <row r="20" spans="1:16" x14ac:dyDescent="0.25">
      <c r="A20" s="12" t="s">
        <v>42</v>
      </c>
      <c r="B20" s="12" t="s">
        <v>154</v>
      </c>
      <c r="C20" s="14">
        <v>1</v>
      </c>
      <c r="D20" s="14">
        <v>2</v>
      </c>
      <c r="E20" s="9">
        <v>-1</v>
      </c>
      <c r="F20" s="13">
        <v>545271156</v>
      </c>
      <c r="G20" s="13">
        <v>384674857</v>
      </c>
      <c r="H20" s="9">
        <v>-29.5</v>
      </c>
      <c r="I20" s="15">
        <v>37.85</v>
      </c>
      <c r="J20" s="15">
        <v>31.72</v>
      </c>
    </row>
    <row r="21" spans="1:16" x14ac:dyDescent="0.25">
      <c r="A21" s="6" t="s">
        <v>42</v>
      </c>
      <c r="B21" s="6" t="s">
        <v>146</v>
      </c>
      <c r="C21" s="8">
        <v>3</v>
      </c>
      <c r="D21" s="8">
        <v>3</v>
      </c>
      <c r="E21" s="15">
        <v>0</v>
      </c>
      <c r="F21" s="7">
        <v>108503830</v>
      </c>
      <c r="G21" s="7">
        <v>112099906</v>
      </c>
      <c r="H21" s="10">
        <v>3.3</v>
      </c>
      <c r="I21" s="11">
        <v>7.53</v>
      </c>
      <c r="J21" s="11">
        <v>9.24</v>
      </c>
      <c r="M21" t="s">
        <v>23</v>
      </c>
      <c r="N21" t="s">
        <v>44</v>
      </c>
    </row>
    <row r="22" spans="1:16" x14ac:dyDescent="0.25">
      <c r="A22" s="12" t="s">
        <v>42</v>
      </c>
      <c r="B22" s="12" t="s">
        <v>152</v>
      </c>
      <c r="C22" s="14">
        <v>5</v>
      </c>
      <c r="D22" s="14">
        <v>4</v>
      </c>
      <c r="E22" s="10">
        <v>1</v>
      </c>
      <c r="F22" s="13">
        <v>65607587</v>
      </c>
      <c r="G22" s="13">
        <v>100813103</v>
      </c>
      <c r="H22" s="10">
        <v>53.7</v>
      </c>
      <c r="I22" s="15">
        <v>4.55</v>
      </c>
      <c r="J22" s="15">
        <v>8.31</v>
      </c>
    </row>
    <row r="23" spans="1:16" x14ac:dyDescent="0.25">
      <c r="A23" s="6" t="s">
        <v>42</v>
      </c>
      <c r="B23" s="6" t="s">
        <v>151</v>
      </c>
      <c r="C23" s="8">
        <v>4</v>
      </c>
      <c r="D23" s="8">
        <v>5</v>
      </c>
      <c r="E23" s="9">
        <v>-1</v>
      </c>
      <c r="F23" s="7">
        <v>85806013</v>
      </c>
      <c r="G23" s="7">
        <v>62199029</v>
      </c>
      <c r="H23" s="9">
        <v>-27.5</v>
      </c>
      <c r="I23" s="11">
        <v>5.96</v>
      </c>
      <c r="J23" s="11">
        <v>5.13</v>
      </c>
      <c r="M23" t="s">
        <v>169</v>
      </c>
      <c r="N23" t="s">
        <v>172</v>
      </c>
      <c r="O23" t="s">
        <v>171</v>
      </c>
      <c r="P23" t="s">
        <v>174</v>
      </c>
    </row>
    <row r="24" spans="1:16" x14ac:dyDescent="0.25">
      <c r="A24" s="12" t="s">
        <v>42</v>
      </c>
      <c r="B24" s="12" t="s">
        <v>158</v>
      </c>
      <c r="C24" s="14">
        <v>6</v>
      </c>
      <c r="D24" s="14">
        <v>6</v>
      </c>
      <c r="E24" s="15">
        <v>0</v>
      </c>
      <c r="F24" s="13">
        <v>32207941</v>
      </c>
      <c r="G24" s="13">
        <v>33582989</v>
      </c>
      <c r="H24" s="10">
        <v>4.3</v>
      </c>
      <c r="I24" s="15">
        <v>2.2400000000000002</v>
      </c>
      <c r="J24" s="15">
        <v>2.77</v>
      </c>
      <c r="M24" t="s">
        <v>149</v>
      </c>
      <c r="N24" s="19">
        <v>651307575</v>
      </c>
      <c r="O24" s="19">
        <v>532385560</v>
      </c>
      <c r="P24">
        <v>-18.3</v>
      </c>
    </row>
    <row r="25" spans="1:16" x14ac:dyDescent="0.25">
      <c r="A25" s="6" t="s">
        <v>42</v>
      </c>
      <c r="B25" s="6" t="s">
        <v>147</v>
      </c>
      <c r="C25" s="8">
        <v>7</v>
      </c>
      <c r="D25" s="8">
        <v>7</v>
      </c>
      <c r="E25" s="15">
        <v>0</v>
      </c>
      <c r="F25" s="7">
        <v>25263112</v>
      </c>
      <c r="G25" s="7">
        <v>27550456</v>
      </c>
      <c r="H25" s="10">
        <v>9.1</v>
      </c>
      <c r="I25" s="11">
        <v>1.75</v>
      </c>
      <c r="J25" s="11">
        <v>2.27</v>
      </c>
      <c r="M25" t="s">
        <v>154</v>
      </c>
      <c r="N25" s="19">
        <v>594368069</v>
      </c>
      <c r="O25" s="19">
        <v>439178554</v>
      </c>
      <c r="P25">
        <v>-26.1</v>
      </c>
    </row>
    <row r="26" spans="1:16" x14ac:dyDescent="0.25">
      <c r="A26" s="12" t="s">
        <v>42</v>
      </c>
      <c r="B26" s="12" t="s">
        <v>159</v>
      </c>
      <c r="C26" s="14">
        <v>8</v>
      </c>
      <c r="D26" s="14">
        <v>8</v>
      </c>
      <c r="E26" s="15">
        <v>0</v>
      </c>
      <c r="F26" s="13">
        <v>24695496</v>
      </c>
      <c r="G26" s="13">
        <v>24769609</v>
      </c>
      <c r="H26" s="10">
        <v>0.3</v>
      </c>
      <c r="I26" s="15">
        <v>1.71</v>
      </c>
      <c r="J26" s="15">
        <v>2.04</v>
      </c>
      <c r="M26" t="s">
        <v>146</v>
      </c>
      <c r="N26" s="19">
        <v>191582676</v>
      </c>
      <c r="O26" s="19">
        <v>202213732</v>
      </c>
      <c r="P26">
        <v>5.5</v>
      </c>
    </row>
    <row r="27" spans="1:16" x14ac:dyDescent="0.25">
      <c r="A27" s="6" t="s">
        <v>44</v>
      </c>
      <c r="B27" s="6" t="s">
        <v>149</v>
      </c>
      <c r="C27" s="8">
        <v>1</v>
      </c>
      <c r="D27" s="8">
        <v>1</v>
      </c>
      <c r="E27" s="15">
        <v>0</v>
      </c>
      <c r="F27" s="7">
        <v>651307575</v>
      </c>
      <c r="G27" s="7">
        <v>532385560</v>
      </c>
      <c r="H27" s="9">
        <v>-18.3</v>
      </c>
      <c r="I27" s="11">
        <v>37.700000000000003</v>
      </c>
      <c r="J27" s="11">
        <v>36.07</v>
      </c>
      <c r="M27" t="s">
        <v>152</v>
      </c>
      <c r="N27" s="19">
        <v>65743066</v>
      </c>
      <c r="O27" s="19">
        <v>100839887</v>
      </c>
      <c r="P27">
        <v>53.4</v>
      </c>
    </row>
    <row r="28" spans="1:16" x14ac:dyDescent="0.25">
      <c r="A28" s="12" t="s">
        <v>44</v>
      </c>
      <c r="B28" s="12" t="s">
        <v>154</v>
      </c>
      <c r="C28" s="14">
        <v>2</v>
      </c>
      <c r="D28" s="14">
        <v>2</v>
      </c>
      <c r="E28" s="15">
        <v>0</v>
      </c>
      <c r="F28" s="13">
        <v>594368069</v>
      </c>
      <c r="G28" s="13">
        <v>439178554</v>
      </c>
      <c r="H28" s="9">
        <v>-26.1</v>
      </c>
      <c r="I28" s="15">
        <v>34.409999999999997</v>
      </c>
      <c r="J28" s="15">
        <v>29.75</v>
      </c>
      <c r="M28" t="s">
        <v>151</v>
      </c>
      <c r="N28" s="19">
        <v>120764620</v>
      </c>
      <c r="O28" s="19">
        <v>96844319</v>
      </c>
      <c r="P28">
        <v>-19.8</v>
      </c>
    </row>
    <row r="29" spans="1:16" x14ac:dyDescent="0.25">
      <c r="A29" s="6" t="s">
        <v>44</v>
      </c>
      <c r="B29" s="6" t="s">
        <v>146</v>
      </c>
      <c r="C29" s="8">
        <v>3</v>
      </c>
      <c r="D29" s="8">
        <v>3</v>
      </c>
      <c r="E29" s="15">
        <v>0</v>
      </c>
      <c r="F29" s="7">
        <v>191582676</v>
      </c>
      <c r="G29" s="7">
        <v>202213732</v>
      </c>
      <c r="H29" s="10">
        <v>5.5</v>
      </c>
      <c r="I29" s="11">
        <v>11.09</v>
      </c>
      <c r="J29" s="11">
        <v>13.7</v>
      </c>
      <c r="M29" t="s">
        <v>158</v>
      </c>
      <c r="N29" s="19">
        <v>32223112</v>
      </c>
      <c r="O29" s="19">
        <v>33624033</v>
      </c>
      <c r="P29">
        <v>4.3</v>
      </c>
    </row>
    <row r="30" spans="1:16" x14ac:dyDescent="0.25">
      <c r="A30" s="12" t="s">
        <v>44</v>
      </c>
      <c r="B30" s="12" t="s">
        <v>152</v>
      </c>
      <c r="C30" s="14">
        <v>5</v>
      </c>
      <c r="D30" s="14">
        <v>4</v>
      </c>
      <c r="E30" s="10">
        <v>1</v>
      </c>
      <c r="F30" s="13">
        <v>65743066</v>
      </c>
      <c r="G30" s="13">
        <v>100839887</v>
      </c>
      <c r="H30" s="10">
        <v>53.4</v>
      </c>
      <c r="I30" s="15">
        <v>3.81</v>
      </c>
      <c r="J30" s="15">
        <v>6.83</v>
      </c>
      <c r="M30" t="s">
        <v>147</v>
      </c>
      <c r="N30" s="19">
        <v>25402611</v>
      </c>
      <c r="O30" s="19">
        <v>27572536</v>
      </c>
      <c r="P30">
        <v>8.5</v>
      </c>
    </row>
    <row r="31" spans="1:16" x14ac:dyDescent="0.25">
      <c r="A31" s="6" t="s">
        <v>44</v>
      </c>
      <c r="B31" s="6" t="s">
        <v>151</v>
      </c>
      <c r="C31" s="8">
        <v>4</v>
      </c>
      <c r="D31" s="8">
        <v>5</v>
      </c>
      <c r="E31" s="9">
        <v>-1</v>
      </c>
      <c r="F31" s="7">
        <v>120764620</v>
      </c>
      <c r="G31" s="7">
        <v>96844319</v>
      </c>
      <c r="H31" s="9">
        <v>-19.8</v>
      </c>
      <c r="I31" s="11">
        <v>6.99</v>
      </c>
      <c r="J31" s="11">
        <v>6.56</v>
      </c>
      <c r="M31" t="s">
        <v>159</v>
      </c>
      <c r="N31" s="19">
        <v>24808030</v>
      </c>
      <c r="O31" s="19">
        <v>24897634</v>
      </c>
      <c r="P31">
        <v>0.4</v>
      </c>
    </row>
    <row r="32" spans="1:16" x14ac:dyDescent="0.25">
      <c r="A32" s="12" t="s">
        <v>44</v>
      </c>
      <c r="B32" s="12" t="s">
        <v>158</v>
      </c>
      <c r="C32" s="14">
        <v>6</v>
      </c>
      <c r="D32" s="14">
        <v>6</v>
      </c>
      <c r="E32" s="15">
        <v>0</v>
      </c>
      <c r="F32" s="13">
        <v>32223112</v>
      </c>
      <c r="G32" s="13">
        <v>33624033</v>
      </c>
      <c r="H32" s="10">
        <v>4.3</v>
      </c>
      <c r="I32" s="15">
        <v>1.87</v>
      </c>
      <c r="J32" s="15">
        <v>2.2799999999999998</v>
      </c>
      <c r="M32" t="s">
        <v>170</v>
      </c>
      <c r="N32" s="19">
        <v>1706199759</v>
      </c>
      <c r="O32" s="19">
        <v>1457556255</v>
      </c>
      <c r="P32">
        <v>7.8999999999999986</v>
      </c>
    </row>
    <row r="33" spans="1:10" x14ac:dyDescent="0.25">
      <c r="A33" s="6" t="s">
        <v>44</v>
      </c>
      <c r="B33" s="6" t="s">
        <v>147</v>
      </c>
      <c r="C33" s="8">
        <v>7</v>
      </c>
      <c r="D33" s="8">
        <v>7</v>
      </c>
      <c r="E33" s="15">
        <v>0</v>
      </c>
      <c r="F33" s="7">
        <v>25402611</v>
      </c>
      <c r="G33" s="7">
        <v>27572536</v>
      </c>
      <c r="H33" s="10">
        <v>8.5</v>
      </c>
      <c r="I33" s="11">
        <v>1.47</v>
      </c>
      <c r="J33" s="11">
        <v>1.87</v>
      </c>
    </row>
    <row r="34" spans="1:10" x14ac:dyDescent="0.25">
      <c r="A34" s="12" t="s">
        <v>44</v>
      </c>
      <c r="B34" s="12" t="s">
        <v>159</v>
      </c>
      <c r="C34" s="14">
        <v>8</v>
      </c>
      <c r="D34" s="14">
        <v>8</v>
      </c>
      <c r="E34" s="15">
        <v>0</v>
      </c>
      <c r="F34" s="13">
        <v>24808030</v>
      </c>
      <c r="G34" s="13">
        <v>24897634</v>
      </c>
      <c r="H34" s="10">
        <v>0.4</v>
      </c>
      <c r="I34" s="15">
        <v>1.44</v>
      </c>
      <c r="J34" s="15">
        <v>1.69</v>
      </c>
    </row>
    <row r="35" spans="1:10" x14ac:dyDescent="0.25">
      <c r="A35" s="6" t="s">
        <v>43</v>
      </c>
      <c r="B35" s="6" t="s">
        <v>146</v>
      </c>
      <c r="C35" s="8">
        <v>2</v>
      </c>
      <c r="D35" s="8">
        <v>1</v>
      </c>
      <c r="E35" s="10">
        <v>1</v>
      </c>
      <c r="F35" s="7">
        <v>83078846</v>
      </c>
      <c r="G35" s="7">
        <v>90113826</v>
      </c>
      <c r="H35" s="10">
        <v>8.5</v>
      </c>
      <c r="I35" s="11">
        <v>28.96</v>
      </c>
      <c r="J35" s="11">
        <v>34.200000000000003</v>
      </c>
    </row>
    <row r="36" spans="1:10" x14ac:dyDescent="0.25">
      <c r="A36" s="12" t="s">
        <v>43</v>
      </c>
      <c r="B36" s="12" t="s">
        <v>149</v>
      </c>
      <c r="C36" s="14">
        <v>1</v>
      </c>
      <c r="D36" s="14">
        <v>2</v>
      </c>
      <c r="E36" s="9">
        <v>-1</v>
      </c>
      <c r="F36" s="13">
        <v>111831134</v>
      </c>
      <c r="G36" s="13">
        <v>78552941</v>
      </c>
      <c r="H36" s="9">
        <v>-29.8</v>
      </c>
      <c r="I36" s="15">
        <v>38.99</v>
      </c>
      <c r="J36" s="15">
        <v>29.81</v>
      </c>
    </row>
    <row r="37" spans="1:10" x14ac:dyDescent="0.25">
      <c r="A37" s="6" t="s">
        <v>43</v>
      </c>
      <c r="B37" s="6" t="s">
        <v>154</v>
      </c>
      <c r="C37" s="8">
        <v>3</v>
      </c>
      <c r="D37" s="8">
        <v>3</v>
      </c>
      <c r="E37" s="15">
        <v>0</v>
      </c>
      <c r="F37" s="7">
        <v>49096913</v>
      </c>
      <c r="G37" s="7">
        <v>54503697</v>
      </c>
      <c r="H37" s="10">
        <v>11</v>
      </c>
      <c r="I37" s="11">
        <v>17.12</v>
      </c>
      <c r="J37" s="11">
        <v>20.69</v>
      </c>
    </row>
    <row r="38" spans="1:10" x14ac:dyDescent="0.25">
      <c r="A38" s="12" t="s">
        <v>43</v>
      </c>
      <c r="B38" s="12" t="s">
        <v>151</v>
      </c>
      <c r="C38" s="14">
        <v>4</v>
      </c>
      <c r="D38" s="14">
        <v>4</v>
      </c>
      <c r="E38" s="15">
        <v>0</v>
      </c>
      <c r="F38" s="13">
        <v>34958607</v>
      </c>
      <c r="G38" s="13">
        <v>34645290</v>
      </c>
      <c r="H38" s="9">
        <v>-0.9</v>
      </c>
      <c r="I38" s="15">
        <v>12.19</v>
      </c>
      <c r="J38" s="15">
        <v>13.15</v>
      </c>
    </row>
    <row r="39" spans="1:10" x14ac:dyDescent="0.25">
      <c r="A39" s="6" t="s">
        <v>43</v>
      </c>
      <c r="B39" s="6" t="s">
        <v>156</v>
      </c>
      <c r="C39" s="8">
        <v>5</v>
      </c>
      <c r="D39" s="8">
        <v>5</v>
      </c>
      <c r="E39" s="15">
        <v>0</v>
      </c>
      <c r="F39" s="7">
        <v>3789110</v>
      </c>
      <c r="G39" s="7">
        <v>2662141</v>
      </c>
      <c r="H39" s="9">
        <v>-29.7</v>
      </c>
      <c r="I39" s="11">
        <v>1.32</v>
      </c>
      <c r="J39" s="11">
        <v>1.01</v>
      </c>
    </row>
    <row r="40" spans="1:10" x14ac:dyDescent="0.25">
      <c r="A40" s="12" t="s">
        <v>43</v>
      </c>
      <c r="B40" s="12" t="s">
        <v>157</v>
      </c>
      <c r="C40" s="14">
        <v>6</v>
      </c>
      <c r="D40" s="14">
        <v>6</v>
      </c>
      <c r="E40" s="15">
        <v>0</v>
      </c>
      <c r="F40" s="13">
        <v>2427028</v>
      </c>
      <c r="G40" s="13">
        <v>1622423</v>
      </c>
      <c r="H40" s="9">
        <v>-33.200000000000003</v>
      </c>
      <c r="I40" s="15">
        <v>0.85</v>
      </c>
      <c r="J40" s="15">
        <v>0.62</v>
      </c>
    </row>
    <row r="41" spans="1:10" x14ac:dyDescent="0.25">
      <c r="A41" s="6" t="s">
        <v>43</v>
      </c>
      <c r="B41" s="6" t="s">
        <v>160</v>
      </c>
      <c r="C41" s="8">
        <v>7</v>
      </c>
      <c r="D41" s="8">
        <v>7</v>
      </c>
      <c r="E41" s="15">
        <v>0</v>
      </c>
      <c r="F41" s="7">
        <v>431453</v>
      </c>
      <c r="G41" s="7">
        <v>395142</v>
      </c>
      <c r="H41" s="9">
        <v>-8.4</v>
      </c>
      <c r="I41" s="11">
        <v>0.15</v>
      </c>
      <c r="J41" s="11">
        <v>0.15</v>
      </c>
    </row>
    <row r="42" spans="1:10" x14ac:dyDescent="0.25">
      <c r="A42" s="12" t="s">
        <v>43</v>
      </c>
      <c r="B42" s="12" t="s">
        <v>155</v>
      </c>
      <c r="C42" s="14">
        <v>8</v>
      </c>
      <c r="D42" s="14">
        <v>8</v>
      </c>
      <c r="E42" s="15">
        <v>0</v>
      </c>
      <c r="F42" s="13">
        <v>215742</v>
      </c>
      <c r="G42" s="13">
        <v>278960</v>
      </c>
      <c r="H42" s="10">
        <v>29.3</v>
      </c>
      <c r="I42" s="15">
        <v>0.08</v>
      </c>
      <c r="J42" s="15">
        <v>0.11</v>
      </c>
    </row>
    <row r="43" spans="1:10" x14ac:dyDescent="0.25">
      <c r="A43" s="6" t="s">
        <v>45</v>
      </c>
      <c r="B43" s="6" t="s">
        <v>151</v>
      </c>
      <c r="C43" s="8">
        <v>2</v>
      </c>
      <c r="D43" s="8">
        <v>1</v>
      </c>
      <c r="E43" s="10">
        <v>1</v>
      </c>
      <c r="F43" s="7">
        <v>1157248762</v>
      </c>
      <c r="G43" s="7">
        <v>1351515602</v>
      </c>
      <c r="H43" s="10">
        <v>16.8</v>
      </c>
      <c r="I43" s="11">
        <v>20.95</v>
      </c>
      <c r="J43" s="11">
        <v>25.72</v>
      </c>
    </row>
    <row r="44" spans="1:10" x14ac:dyDescent="0.25">
      <c r="A44" s="12" t="s">
        <v>45</v>
      </c>
      <c r="B44" s="12" t="s">
        <v>153</v>
      </c>
      <c r="C44" s="14">
        <v>1</v>
      </c>
      <c r="D44" s="14">
        <v>2</v>
      </c>
      <c r="E44" s="9">
        <v>-1</v>
      </c>
      <c r="F44" s="13">
        <v>1447320913</v>
      </c>
      <c r="G44" s="13">
        <v>1126782979</v>
      </c>
      <c r="H44" s="9">
        <v>-22.1</v>
      </c>
      <c r="I44" s="15">
        <v>26.2</v>
      </c>
      <c r="J44" s="15">
        <v>21.44</v>
      </c>
    </row>
    <row r="45" spans="1:10" x14ac:dyDescent="0.25">
      <c r="A45" s="6" t="s">
        <v>45</v>
      </c>
      <c r="B45" s="6" t="s">
        <v>154</v>
      </c>
      <c r="C45" s="8">
        <v>4</v>
      </c>
      <c r="D45" s="8">
        <v>3</v>
      </c>
      <c r="E45" s="10">
        <v>1</v>
      </c>
      <c r="F45" s="7">
        <v>571229986</v>
      </c>
      <c r="G45" s="7">
        <v>655116684</v>
      </c>
      <c r="H45" s="10">
        <v>14.7</v>
      </c>
      <c r="I45" s="11">
        <v>10.34</v>
      </c>
      <c r="J45" s="11">
        <v>12.47</v>
      </c>
    </row>
    <row r="46" spans="1:10" x14ac:dyDescent="0.25">
      <c r="A46" s="12" t="s">
        <v>45</v>
      </c>
      <c r="B46" s="12" t="s">
        <v>155</v>
      </c>
      <c r="C46" s="14">
        <v>3</v>
      </c>
      <c r="D46" s="14">
        <v>4</v>
      </c>
      <c r="E46" s="9">
        <v>-1</v>
      </c>
      <c r="F46" s="13">
        <v>597491310</v>
      </c>
      <c r="G46" s="13">
        <v>530110654</v>
      </c>
      <c r="H46" s="9">
        <v>-11.3</v>
      </c>
      <c r="I46" s="15">
        <v>10.82</v>
      </c>
      <c r="J46" s="15">
        <v>10.09</v>
      </c>
    </row>
    <row r="47" spans="1:10" x14ac:dyDescent="0.25">
      <c r="A47" s="6" t="s">
        <v>45</v>
      </c>
      <c r="B47" s="6" t="s">
        <v>156</v>
      </c>
      <c r="C47" s="8">
        <v>5</v>
      </c>
      <c r="D47" s="8">
        <v>5</v>
      </c>
      <c r="E47" s="15">
        <v>0</v>
      </c>
      <c r="F47" s="7">
        <v>459180957</v>
      </c>
      <c r="G47" s="7">
        <v>443998188</v>
      </c>
      <c r="H47" s="9">
        <v>-3.3</v>
      </c>
      <c r="I47" s="11">
        <v>8.31</v>
      </c>
      <c r="J47" s="11">
        <v>8.4499999999999993</v>
      </c>
    </row>
    <row r="48" spans="1:10" x14ac:dyDescent="0.25">
      <c r="A48" s="12" t="s">
        <v>45</v>
      </c>
      <c r="B48" s="12" t="s">
        <v>146</v>
      </c>
      <c r="C48" s="14">
        <v>6</v>
      </c>
      <c r="D48" s="14">
        <v>6</v>
      </c>
      <c r="E48" s="15">
        <v>0</v>
      </c>
      <c r="F48" s="13">
        <v>404283335</v>
      </c>
      <c r="G48" s="13">
        <v>392867289</v>
      </c>
      <c r="H48" s="9">
        <v>-2.8</v>
      </c>
      <c r="I48" s="15">
        <v>7.32</v>
      </c>
      <c r="J48" s="15">
        <v>7.48</v>
      </c>
    </row>
    <row r="49" spans="1:10" x14ac:dyDescent="0.25">
      <c r="A49" s="6" t="s">
        <v>45</v>
      </c>
      <c r="B49" s="6" t="s">
        <v>157</v>
      </c>
      <c r="C49" s="8">
        <v>7</v>
      </c>
      <c r="D49" s="8">
        <v>7</v>
      </c>
      <c r="E49" s="15">
        <v>0</v>
      </c>
      <c r="F49" s="7">
        <v>388664380</v>
      </c>
      <c r="G49" s="7">
        <v>301864881</v>
      </c>
      <c r="H49" s="9">
        <v>-22.3</v>
      </c>
      <c r="I49" s="11">
        <v>7.04</v>
      </c>
      <c r="J49" s="11">
        <v>5.74</v>
      </c>
    </row>
    <row r="50" spans="1:10" x14ac:dyDescent="0.25">
      <c r="A50" s="12" t="s">
        <v>45</v>
      </c>
      <c r="B50" s="12" t="s">
        <v>161</v>
      </c>
      <c r="C50" s="14">
        <v>8</v>
      </c>
      <c r="D50" s="14">
        <v>8</v>
      </c>
      <c r="E50" s="15">
        <v>0</v>
      </c>
      <c r="F50" s="13">
        <v>325546164</v>
      </c>
      <c r="G50" s="13">
        <v>276670035</v>
      </c>
      <c r="H50" s="9">
        <v>-15</v>
      </c>
      <c r="I50" s="15">
        <v>5.89</v>
      </c>
      <c r="J50" s="15">
        <v>5.27</v>
      </c>
    </row>
    <row r="51" spans="1:10" x14ac:dyDescent="0.25">
      <c r="A51" s="6" t="s">
        <v>45</v>
      </c>
      <c r="B51" s="6" t="s">
        <v>149</v>
      </c>
      <c r="C51" s="8">
        <v>9</v>
      </c>
      <c r="D51" s="8">
        <v>9</v>
      </c>
      <c r="E51" s="15">
        <v>0</v>
      </c>
      <c r="F51" s="7">
        <v>148851896</v>
      </c>
      <c r="G51" s="7">
        <v>154426241</v>
      </c>
      <c r="H51" s="10">
        <v>3.7</v>
      </c>
      <c r="I51" s="11">
        <v>2.69</v>
      </c>
      <c r="J51" s="11">
        <v>2.94</v>
      </c>
    </row>
  </sheetData>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2"/>
  <sheetViews>
    <sheetView workbookViewId="0">
      <pane xSplit="2" ySplit="2" topLeftCell="C3" activePane="bottomRight" state="frozen"/>
      <selection pane="topRight" activeCell="C1" sqref="C1"/>
      <selection pane="bottomLeft" activeCell="A3" sqref="A3"/>
      <selection pane="bottomRight" activeCell="L24" sqref="L24"/>
    </sheetView>
  </sheetViews>
  <sheetFormatPr defaultRowHeight="15" x14ac:dyDescent="0.25"/>
  <cols>
    <col min="1" max="1" width="29.7109375" customWidth="1"/>
    <col min="2" max="2" width="17.7109375" customWidth="1"/>
    <col min="3" max="4" width="15.7109375" customWidth="1"/>
    <col min="5" max="5" width="18.7109375" customWidth="1"/>
    <col min="9" max="9" width="18" bestFit="1" customWidth="1"/>
    <col min="10" max="10" width="26.28515625" bestFit="1" customWidth="1"/>
    <col min="11" max="11" width="22.42578125" bestFit="1" customWidth="1"/>
    <col min="12" max="12" width="25.140625" bestFit="1" customWidth="1"/>
  </cols>
  <sheetData>
    <row r="1" spans="1:12" ht="20.100000000000001" customHeight="1" x14ac:dyDescent="0.25">
      <c r="A1" s="18" t="s">
        <v>22</v>
      </c>
      <c r="B1" s="18"/>
      <c r="C1" s="18"/>
      <c r="D1" s="18"/>
      <c r="E1" s="18"/>
    </row>
    <row r="2" spans="1:12" ht="39.950000000000003" customHeight="1" x14ac:dyDescent="0.25">
      <c r="A2" s="5" t="s">
        <v>23</v>
      </c>
      <c r="B2" s="5" t="s">
        <v>94</v>
      </c>
      <c r="C2" s="5" t="s">
        <v>30</v>
      </c>
      <c r="D2" s="5" t="s">
        <v>24</v>
      </c>
      <c r="E2" s="5" t="s">
        <v>36</v>
      </c>
    </row>
    <row r="3" spans="1:12" x14ac:dyDescent="0.25">
      <c r="A3" s="6" t="s">
        <v>46</v>
      </c>
      <c r="B3" s="6" t="s">
        <v>103</v>
      </c>
      <c r="C3" s="7">
        <v>7830906</v>
      </c>
      <c r="D3" s="7">
        <v>9913341</v>
      </c>
      <c r="E3" s="9">
        <v>-21</v>
      </c>
    </row>
    <row r="4" spans="1:12" x14ac:dyDescent="0.25">
      <c r="A4" s="12" t="s">
        <v>46</v>
      </c>
      <c r="B4" s="12" t="s">
        <v>108</v>
      </c>
      <c r="C4" s="13">
        <v>6338519</v>
      </c>
      <c r="D4" s="13">
        <v>11084217</v>
      </c>
      <c r="E4" s="9">
        <v>-42.8</v>
      </c>
    </row>
    <row r="5" spans="1:12" x14ac:dyDescent="0.25">
      <c r="A5" s="6" t="s">
        <v>46</v>
      </c>
      <c r="B5" s="6" t="s">
        <v>98</v>
      </c>
      <c r="C5" s="7">
        <v>665919</v>
      </c>
      <c r="D5" s="7">
        <v>103117</v>
      </c>
      <c r="E5" s="10">
        <v>545.79999999999995</v>
      </c>
      <c r="I5" s="21" t="s">
        <v>23</v>
      </c>
      <c r="J5" t="s">
        <v>44</v>
      </c>
    </row>
    <row r="6" spans="1:12" x14ac:dyDescent="0.25">
      <c r="A6" s="12" t="s">
        <v>46</v>
      </c>
      <c r="B6" s="12" t="s">
        <v>110</v>
      </c>
      <c r="C6" s="13">
        <v>421923</v>
      </c>
      <c r="D6" s="13">
        <v>0</v>
      </c>
      <c r="E6" s="12"/>
    </row>
    <row r="7" spans="1:12" x14ac:dyDescent="0.25">
      <c r="A7" s="6" t="s">
        <v>46</v>
      </c>
      <c r="B7" s="6" t="s">
        <v>111</v>
      </c>
      <c r="C7" s="7">
        <v>375884</v>
      </c>
      <c r="D7" s="7">
        <v>395917</v>
      </c>
      <c r="E7" s="9">
        <v>-5.0999999999999996</v>
      </c>
      <c r="I7" s="21" t="s">
        <v>169</v>
      </c>
      <c r="J7" t="s">
        <v>172</v>
      </c>
      <c r="K7" t="s">
        <v>171</v>
      </c>
      <c r="L7" t="s">
        <v>173</v>
      </c>
    </row>
    <row r="8" spans="1:12" x14ac:dyDescent="0.25">
      <c r="A8" s="12" t="s">
        <v>46</v>
      </c>
      <c r="B8" s="12" t="s">
        <v>162</v>
      </c>
      <c r="C8" s="13">
        <v>274620</v>
      </c>
      <c r="D8" s="13">
        <v>130410</v>
      </c>
      <c r="E8" s="10">
        <v>110.6</v>
      </c>
      <c r="I8" s="22" t="s">
        <v>98</v>
      </c>
      <c r="J8" s="23">
        <v>310556524</v>
      </c>
      <c r="K8" s="23">
        <v>167472012</v>
      </c>
      <c r="L8" s="24">
        <v>-46.1</v>
      </c>
    </row>
    <row r="9" spans="1:12" x14ac:dyDescent="0.25">
      <c r="A9" s="6" t="s">
        <v>46</v>
      </c>
      <c r="B9" s="6" t="s">
        <v>99</v>
      </c>
      <c r="C9" s="7">
        <v>149332</v>
      </c>
      <c r="D9" s="7">
        <v>0</v>
      </c>
      <c r="E9" s="6"/>
      <c r="I9" s="22" t="s">
        <v>99</v>
      </c>
      <c r="J9" s="23">
        <v>30007569</v>
      </c>
      <c r="K9" s="23">
        <v>45611970</v>
      </c>
      <c r="L9" s="24">
        <v>52</v>
      </c>
    </row>
    <row r="10" spans="1:12" x14ac:dyDescent="0.25">
      <c r="A10" s="12" t="s">
        <v>46</v>
      </c>
      <c r="B10" s="12" t="s">
        <v>163</v>
      </c>
      <c r="C10" s="13">
        <v>124897</v>
      </c>
      <c r="D10" s="13">
        <v>0</v>
      </c>
      <c r="E10" s="12"/>
      <c r="I10" s="22" t="s">
        <v>101</v>
      </c>
      <c r="J10" s="23">
        <v>18452711</v>
      </c>
      <c r="K10" s="23">
        <v>35336062</v>
      </c>
      <c r="L10" s="24">
        <v>91.5</v>
      </c>
    </row>
    <row r="11" spans="1:12" x14ac:dyDescent="0.25">
      <c r="A11" s="6" t="s">
        <v>46</v>
      </c>
      <c r="B11" s="6" t="s">
        <v>109</v>
      </c>
      <c r="C11" s="7">
        <v>102902</v>
      </c>
      <c r="D11" s="7">
        <v>0</v>
      </c>
      <c r="E11" s="6"/>
      <c r="I11" s="22" t="s">
        <v>102</v>
      </c>
      <c r="J11" s="23">
        <v>25064058</v>
      </c>
      <c r="K11" s="23">
        <v>23247555</v>
      </c>
      <c r="L11" s="24">
        <v>-7.2</v>
      </c>
    </row>
    <row r="12" spans="1:12" x14ac:dyDescent="0.25">
      <c r="A12" s="12" t="s">
        <v>46</v>
      </c>
      <c r="B12" s="12" t="s">
        <v>121</v>
      </c>
      <c r="C12" s="13">
        <v>86602</v>
      </c>
      <c r="D12" s="13">
        <v>86803</v>
      </c>
      <c r="E12" s="9">
        <v>-0.2</v>
      </c>
      <c r="I12" s="22" t="s">
        <v>104</v>
      </c>
      <c r="J12" s="23">
        <v>0</v>
      </c>
      <c r="K12" s="23">
        <v>20274000</v>
      </c>
      <c r="L12" s="24"/>
    </row>
    <row r="13" spans="1:12" x14ac:dyDescent="0.25">
      <c r="A13" s="6" t="s">
        <v>44</v>
      </c>
      <c r="B13" s="6" t="s">
        <v>98</v>
      </c>
      <c r="C13" s="7">
        <v>167472012</v>
      </c>
      <c r="D13" s="7">
        <v>310556524</v>
      </c>
      <c r="E13" s="9">
        <v>-46.1</v>
      </c>
      <c r="I13" s="22" t="s">
        <v>106</v>
      </c>
      <c r="J13" s="23">
        <v>19659558</v>
      </c>
      <c r="K13" s="23">
        <v>16030897</v>
      </c>
      <c r="L13" s="24">
        <v>-18.5</v>
      </c>
    </row>
    <row r="14" spans="1:12" x14ac:dyDescent="0.25">
      <c r="A14" s="12" t="s">
        <v>44</v>
      </c>
      <c r="B14" s="12" t="s">
        <v>99</v>
      </c>
      <c r="C14" s="13">
        <v>45611970</v>
      </c>
      <c r="D14" s="13">
        <v>30007569</v>
      </c>
      <c r="E14" s="10">
        <v>52</v>
      </c>
      <c r="I14" s="22" t="s">
        <v>112</v>
      </c>
      <c r="J14" s="23">
        <v>11160558</v>
      </c>
      <c r="K14" s="23">
        <v>13776506</v>
      </c>
      <c r="L14" s="24">
        <v>23.4</v>
      </c>
    </row>
    <row r="15" spans="1:12" x14ac:dyDescent="0.25">
      <c r="A15" s="6" t="s">
        <v>44</v>
      </c>
      <c r="B15" s="6" t="s">
        <v>101</v>
      </c>
      <c r="C15" s="7">
        <v>35336062</v>
      </c>
      <c r="D15" s="7">
        <v>18452711</v>
      </c>
      <c r="E15" s="10">
        <v>91.5</v>
      </c>
      <c r="I15" s="22" t="s">
        <v>111</v>
      </c>
      <c r="J15" s="23">
        <v>13621245</v>
      </c>
      <c r="K15" s="23">
        <v>13702001</v>
      </c>
      <c r="L15" s="24">
        <v>0.6</v>
      </c>
    </row>
    <row r="16" spans="1:12" x14ac:dyDescent="0.25">
      <c r="A16" s="12" t="s">
        <v>44</v>
      </c>
      <c r="B16" s="12" t="s">
        <v>102</v>
      </c>
      <c r="C16" s="13">
        <v>23247555</v>
      </c>
      <c r="D16" s="13">
        <v>25064058</v>
      </c>
      <c r="E16" s="9">
        <v>-7.2</v>
      </c>
      <c r="I16" s="22" t="s">
        <v>114</v>
      </c>
      <c r="J16" s="23">
        <v>14547479</v>
      </c>
      <c r="K16" s="23">
        <v>9991895</v>
      </c>
      <c r="L16" s="24">
        <v>-31.3</v>
      </c>
    </row>
    <row r="17" spans="1:12" x14ac:dyDescent="0.25">
      <c r="A17" s="6" t="s">
        <v>44</v>
      </c>
      <c r="B17" s="6" t="s">
        <v>104</v>
      </c>
      <c r="C17" s="7">
        <v>20274000</v>
      </c>
      <c r="D17" s="7">
        <v>0</v>
      </c>
      <c r="E17" s="6"/>
      <c r="I17" s="22" t="s">
        <v>108</v>
      </c>
      <c r="J17" s="23">
        <v>0</v>
      </c>
      <c r="K17" s="23">
        <v>9829417</v>
      </c>
      <c r="L17" s="24"/>
    </row>
    <row r="18" spans="1:12" x14ac:dyDescent="0.25">
      <c r="A18" s="12" t="s">
        <v>44</v>
      </c>
      <c r="B18" s="12" t="s">
        <v>106</v>
      </c>
      <c r="C18" s="13">
        <v>16030897</v>
      </c>
      <c r="D18" s="13">
        <v>19659558</v>
      </c>
      <c r="E18" s="9">
        <v>-18.5</v>
      </c>
      <c r="I18" s="22" t="s">
        <v>170</v>
      </c>
      <c r="J18" s="23">
        <v>443069702</v>
      </c>
      <c r="K18" s="23">
        <v>355272315</v>
      </c>
      <c r="L18" s="24">
        <v>64.400000000000006</v>
      </c>
    </row>
    <row r="19" spans="1:12" x14ac:dyDescent="0.25">
      <c r="A19" s="6" t="s">
        <v>44</v>
      </c>
      <c r="B19" s="6" t="s">
        <v>112</v>
      </c>
      <c r="C19" s="7">
        <v>13776506</v>
      </c>
      <c r="D19" s="7">
        <v>11160558</v>
      </c>
      <c r="E19" s="10">
        <v>23.4</v>
      </c>
    </row>
    <row r="20" spans="1:12" x14ac:dyDescent="0.25">
      <c r="A20" s="12" t="s">
        <v>44</v>
      </c>
      <c r="B20" s="12" t="s">
        <v>111</v>
      </c>
      <c r="C20" s="13">
        <v>13702001</v>
      </c>
      <c r="D20" s="13">
        <v>13621245</v>
      </c>
      <c r="E20" s="10">
        <v>0.6</v>
      </c>
    </row>
    <row r="21" spans="1:12" x14ac:dyDescent="0.25">
      <c r="A21" s="6" t="s">
        <v>44</v>
      </c>
      <c r="B21" s="6" t="s">
        <v>114</v>
      </c>
      <c r="C21" s="7">
        <v>9991895</v>
      </c>
      <c r="D21" s="7">
        <v>14547479</v>
      </c>
      <c r="E21" s="9">
        <v>-31.3</v>
      </c>
    </row>
    <row r="22" spans="1:12" x14ac:dyDescent="0.25">
      <c r="A22" s="12" t="s">
        <v>44</v>
      </c>
      <c r="B22" s="12" t="s">
        <v>108</v>
      </c>
      <c r="C22" s="13">
        <v>9829417</v>
      </c>
      <c r="D22" s="13">
        <v>0</v>
      </c>
      <c r="E22" s="12"/>
    </row>
    <row r="23" spans="1:12" x14ac:dyDescent="0.25">
      <c r="A23" s="6" t="s">
        <v>45</v>
      </c>
      <c r="B23" s="6" t="s">
        <v>100</v>
      </c>
      <c r="C23" s="7">
        <v>40926578</v>
      </c>
      <c r="D23" s="7">
        <v>43396705</v>
      </c>
      <c r="E23" s="9">
        <v>-5.7</v>
      </c>
    </row>
    <row r="24" spans="1:12" x14ac:dyDescent="0.25">
      <c r="A24" s="12" t="s">
        <v>45</v>
      </c>
      <c r="B24" s="12" t="s">
        <v>105</v>
      </c>
      <c r="C24" s="13">
        <v>15690001</v>
      </c>
      <c r="D24" s="13">
        <v>14578249</v>
      </c>
      <c r="E24" s="10">
        <v>7.6</v>
      </c>
    </row>
    <row r="25" spans="1:12" x14ac:dyDescent="0.25">
      <c r="A25" s="6" t="s">
        <v>45</v>
      </c>
      <c r="B25" s="6" t="s">
        <v>109</v>
      </c>
      <c r="C25" s="7">
        <v>12897277</v>
      </c>
      <c r="D25" s="7">
        <v>2846750</v>
      </c>
      <c r="E25" s="10">
        <v>353.1</v>
      </c>
    </row>
    <row r="26" spans="1:12" x14ac:dyDescent="0.25">
      <c r="A26" s="12" t="s">
        <v>45</v>
      </c>
      <c r="B26" s="12" t="s">
        <v>110</v>
      </c>
      <c r="C26" s="13">
        <v>10813779</v>
      </c>
      <c r="D26" s="13">
        <v>12310975</v>
      </c>
      <c r="E26" s="9">
        <v>-12.2</v>
      </c>
    </row>
    <row r="27" spans="1:12" x14ac:dyDescent="0.25">
      <c r="A27" s="6" t="s">
        <v>45</v>
      </c>
      <c r="B27" s="6" t="s">
        <v>113</v>
      </c>
      <c r="C27" s="7">
        <v>8599703</v>
      </c>
      <c r="D27" s="7">
        <v>9290868</v>
      </c>
      <c r="E27" s="9">
        <v>-7.4</v>
      </c>
    </row>
    <row r="28" spans="1:12" x14ac:dyDescent="0.25">
      <c r="A28" s="12" t="s">
        <v>45</v>
      </c>
      <c r="B28" s="12" t="s">
        <v>107</v>
      </c>
      <c r="C28" s="13">
        <v>8581197</v>
      </c>
      <c r="D28" s="13">
        <v>8869559</v>
      </c>
      <c r="E28" s="9">
        <v>-3.3</v>
      </c>
    </row>
    <row r="29" spans="1:12" x14ac:dyDescent="0.25">
      <c r="A29" s="6" t="s">
        <v>45</v>
      </c>
      <c r="B29" s="6" t="s">
        <v>99</v>
      </c>
      <c r="C29" s="7">
        <v>7807216</v>
      </c>
      <c r="D29" s="7">
        <v>8314529</v>
      </c>
      <c r="E29" s="9">
        <v>-6.1</v>
      </c>
    </row>
    <row r="30" spans="1:12" x14ac:dyDescent="0.25">
      <c r="A30" s="12" t="s">
        <v>45</v>
      </c>
      <c r="B30" s="12" t="s">
        <v>98</v>
      </c>
      <c r="C30" s="13">
        <v>6278232</v>
      </c>
      <c r="D30" s="13">
        <v>11497499</v>
      </c>
      <c r="E30" s="9">
        <v>-45.4</v>
      </c>
    </row>
    <row r="31" spans="1:12" x14ac:dyDescent="0.25">
      <c r="A31" s="6" t="s">
        <v>45</v>
      </c>
      <c r="B31" s="6" t="s">
        <v>103</v>
      </c>
      <c r="C31" s="7">
        <v>6110623</v>
      </c>
      <c r="D31" s="7">
        <v>0</v>
      </c>
      <c r="E31" s="6"/>
    </row>
    <row r="32" spans="1:12" x14ac:dyDescent="0.25">
      <c r="A32" s="12" t="s">
        <v>45</v>
      </c>
      <c r="B32" s="12" t="s">
        <v>117</v>
      </c>
      <c r="C32" s="13">
        <v>5926425</v>
      </c>
      <c r="D32" s="13">
        <v>6159594</v>
      </c>
      <c r="E32" s="9">
        <v>-3.8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0_Indice</vt:lpstr>
      <vt:lpstr>1_Resumo_Geral</vt:lpstr>
      <vt:lpstr>2_Mensal_Total</vt:lpstr>
      <vt:lpstr>3_Mensal_Setor</vt:lpstr>
      <vt:lpstr>4_Top_Produtos</vt:lpstr>
      <vt:lpstr>5_Top_Destinos</vt:lpstr>
      <vt:lpstr>6_Concentracao_EUA</vt:lpstr>
      <vt:lpstr>7_Participacao_SC_BR</vt:lpstr>
      <vt:lpstr>8_Ranking_Estados</vt:lpstr>
      <vt:lpstr>9_Destinos_Setor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BRUNO HAEMING</cp:lastModifiedBy>
  <dcterms:created xsi:type="dcterms:W3CDTF">2026-06-18T19:24:44Z</dcterms:created>
  <dcterms:modified xsi:type="dcterms:W3CDTF">2026-06-18T21:26:30Z</dcterms:modified>
</cp:coreProperties>
</file>