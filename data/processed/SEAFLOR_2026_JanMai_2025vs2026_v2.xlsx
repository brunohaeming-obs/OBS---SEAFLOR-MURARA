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.haeming\Desktop\Demandas\OBS - SEAFLOR MURARA\data\processed\"/>
    </mc:Choice>
  </mc:AlternateContent>
  <xr:revisionPtr revIDLastSave="0" documentId="13_ncr:1_{78E17A36-B838-468C-8E71-31A57ACBDB67}" xr6:coauthVersionLast="47" xr6:coauthVersionMax="47" xr10:uidLastSave="{00000000-0000-0000-0000-000000000000}"/>
  <bookViews>
    <workbookView xWindow="-120" yWindow="-120" windowWidth="29040" windowHeight="15720" firstSheet="6" activeTab="11" xr2:uid="{00000000-000D-0000-FFFF-FFFF00000000}"/>
  </bookViews>
  <sheets>
    <sheet name="0_Indice" sheetId="1" r:id="rId1"/>
    <sheet name="1_Resumo_Geral" sheetId="2" r:id="rId2"/>
    <sheet name="2_Mensal_Total" sheetId="3" r:id="rId3"/>
    <sheet name="3_Mensal_Setor" sheetId="4" r:id="rId4"/>
    <sheet name="4_Top_Produtos" sheetId="5" r:id="rId5"/>
    <sheet name="5_Top_Destinos" sheetId="6" r:id="rId6"/>
    <sheet name="6_Conc_EUA" sheetId="7" r:id="rId7"/>
    <sheet name="7_Part_SC_BR" sheetId="8" r:id="rId8"/>
    <sheet name="8_Rank_Estados" sheetId="9" r:id="rId9"/>
    <sheet name="9_Dest_Setor" sheetId="10" r:id="rId10"/>
    <sheet name="10_HHI_Gini" sheetId="11" r:id="rId11"/>
    <sheet name="11_HHI_Gini_Longo" sheetId="12" r:id="rId12"/>
    <sheet name="12_Share_Pais" sheetId="13" r:id="rId13"/>
    <sheet name="13_Dest_Detalhe" sheetId="14" r:id="rId14"/>
  </sheets>
  <calcPr calcId="191029"/>
  <pivotCaches>
    <pivotCache cacheId="12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<sst xmlns="http://schemas.openxmlformats.org/spreadsheetml/2006/main" count="1359" uniqueCount="238">
  <si>
    <t>SEAFLOR 2026 — Complexo Florestal SC: Jan-Mai 2025 vs 2026 + HHI/Gini de Diversificacao</t>
  </si>
  <si>
    <t>Fonte: ComexStat/MDIC | Observatorio FIESC | Junho 2026 | v2</t>
  </si>
  <si>
    <t>Nota: Complexo = cd_cgce_n3 IN (2,16,17,31). Gini e HHI: 2024 ano fechado | 2025 ano fechado | 2026 Jan-Mai.</t>
  </si>
  <si>
    <t>Aba</t>
  </si>
  <si>
    <t>Descricao</t>
  </si>
  <si>
    <t>1_Resumo_Geral</t>
  </si>
  <si>
    <t>1. Resumo por Setor — EXP, IMP, Saldo, Kg, Nr Destinos | Jan-Mai 2025 vs 2026</t>
  </si>
  <si>
    <t>2_Mensal_Total</t>
  </si>
  <si>
    <t>2. Comparativo Mensal — Complexo Florestal SC | Jan-Mai 2025 vs 2026</t>
  </si>
  <si>
    <t>3_Mensal_Setor</t>
  </si>
  <si>
    <t>3. Mensal por Setor e CNAE — EXP SC | Jan-Mai 2025 vs 2026</t>
  </si>
  <si>
    <t>4_Top_Produtos</t>
  </si>
  <si>
    <t>4. Top 35 Produtos Exportados — Jan-Mai 2026 vs 2025 (valor, volume, preco medio) | join por NCM</t>
  </si>
  <si>
    <t>5_Top_Destinos</t>
  </si>
  <si>
    <t>5. Top 25 Destinos das Exportacoes Florestais SC — Jan-Mai 2026 vs 2025</t>
  </si>
  <si>
    <t>6_Conc_EUA</t>
  </si>
  <si>
    <t>6. Concentracao EUA — Share nas Exportacoes Florestais SC Mes a Mes | Jan-Mai 2025 vs 2026</t>
  </si>
  <si>
    <t>7_Part_SC_BR</t>
  </si>
  <si>
    <t>7. Participacao SC no Total Brasil por Setor — Jan-Mai 2025 vs 2026</t>
  </si>
  <si>
    <t>8_Rank_Estados</t>
  </si>
  <si>
    <t>8. Ranking SC entre Estados Exportadores por Setor — Jan-Mai 2025 vs 2026</t>
  </si>
  <si>
    <t>9_Dest_Setor</t>
  </si>
  <si>
    <t>9. Top 12 Destinos por Setor Principal — Jan-Mai 2025 vs 2026</t>
  </si>
  <si>
    <t>10_HHI_Gini</t>
  </si>
  <si>
    <t>10. HHI e Gini — Concentracao de Destinos: 2024 (ano) | 2025 (ano) | 2026 (Jan-Mai) | Diversificacao Forcada</t>
  </si>
  <si>
    <t>11_HHI_Gini_Longo</t>
  </si>
  <si>
    <t>11. HHI e Gini — Formato Longo por Setor e Periodo (base para grafico)</t>
  </si>
  <si>
    <t>12_Share_Pais</t>
  </si>
  <si>
    <t>12. Share por Pais — Evolucao 2024|2025|2026: Ganhadores e Perdedores | Complexo Florestal SC</t>
  </si>
  <si>
    <t>13_Dest_Detalhe</t>
  </si>
  <si>
    <t>13. Top 15 Destinos por Setor nos 3 Periodos — base para Curva de Lorenz</t>
  </si>
  <si>
    <t>Setor</t>
  </si>
  <si>
    <t>EXP_USD_2025</t>
  </si>
  <si>
    <t>IMP_USD_2025</t>
  </si>
  <si>
    <t>Saldo_2025</t>
  </si>
  <si>
    <t>EXP_Kg_2025</t>
  </si>
  <si>
    <t>Nr_Destinos_2025</t>
  </si>
  <si>
    <t>Nr_NCMs_2025</t>
  </si>
  <si>
    <t>EXP_USD_2026</t>
  </si>
  <si>
    <t>IMP_USD_2026</t>
  </si>
  <si>
    <t>Saldo_2026</t>
  </si>
  <si>
    <t>EXP_Kg_2026</t>
  </si>
  <si>
    <t>Nr_Destinos_2026</t>
  </si>
  <si>
    <t>Nr_NCMs_2026</t>
  </si>
  <si>
    <t>Var_EXP_USD_Pct</t>
  </si>
  <si>
    <t>Var_IMP_USD_Pct</t>
  </si>
  <si>
    <t>Var_Saldo_Pct</t>
  </si>
  <si>
    <t>Var_EXP_Kg_Pct</t>
  </si>
  <si>
    <t>Var_Nr_Destinos</t>
  </si>
  <si>
    <t>Var_Nr_NCMs</t>
  </si>
  <si>
    <t>Madeira (CNAE 16)</t>
  </si>
  <si>
    <t>Moveis (CNAE 31)</t>
  </si>
  <si>
    <t>Madeira e Moveis (16+31)</t>
  </si>
  <si>
    <t>Papel e Celulose (CNAE 17)</t>
  </si>
  <si>
    <t>Base Florestal (CNAE 2)</t>
  </si>
  <si>
    <t>Complexo Florestal</t>
  </si>
  <si>
    <t>Mes_Nome</t>
  </si>
  <si>
    <t>Jan</t>
  </si>
  <si>
    <t>Fev</t>
  </si>
  <si>
    <t>Mar</t>
  </si>
  <si>
    <t>Abr</t>
  </si>
  <si>
    <t>Mai</t>
  </si>
  <si>
    <t>TOTAL Jan-Mai</t>
  </si>
  <si>
    <t>Rank_2026</t>
  </si>
  <si>
    <t>Produto</t>
  </si>
  <si>
    <t>Preco_Med_2025</t>
  </si>
  <si>
    <t>Preco_Med_2026</t>
  </si>
  <si>
    <t>Var_Preco_Med_Pct</t>
  </si>
  <si>
    <t>Madeira serrada</t>
  </si>
  <si>
    <t>Madeira e Móveis</t>
  </si>
  <si>
    <t>Madeira compensada</t>
  </si>
  <si>
    <t>Obras de carpintaria para construções</t>
  </si>
  <si>
    <t>Papel Kraft, não revestidos</t>
  </si>
  <si>
    <t>Papel e Celulose</t>
  </si>
  <si>
    <t>Outros móveis</t>
  </si>
  <si>
    <t>Lenha e desperdícios de madeira</t>
  </si>
  <si>
    <t>Madeira em forma</t>
  </si>
  <si>
    <t>Madeira MDF</t>
  </si>
  <si>
    <t>Recipientes de papel</t>
  </si>
  <si>
    <t>Madeira em bruto</t>
  </si>
  <si>
    <t>Produção Florestal</t>
  </si>
  <si>
    <t>Folheados</t>
  </si>
  <si>
    <t>Outros papéis</t>
  </si>
  <si>
    <t>Painéis de madeira aglomerada</t>
  </si>
  <si>
    <t>Papel higiênico</t>
  </si>
  <si>
    <t>Ferramentas de madeira</t>
  </si>
  <si>
    <t>Papel para fabricação de papel higiênico</t>
  </si>
  <si>
    <t>Outros artigos de madeira</t>
  </si>
  <si>
    <t>Sucos</t>
  </si>
  <si>
    <t>Edredons, almofadas e artigos semelhantes</t>
  </si>
  <si>
    <t>Madeira densificada</t>
  </si>
  <si>
    <t>Outros papeis e suas obras</t>
  </si>
  <si>
    <t>Pais</t>
  </si>
  <si>
    <t>Var_EXP_Pct</t>
  </si>
  <si>
    <t>Share_2025_Pct</t>
  </si>
  <si>
    <t>Share_2026_Pct</t>
  </si>
  <si>
    <t>Var_Share_pp</t>
  </si>
  <si>
    <t>Estados Unidos</t>
  </si>
  <si>
    <t>México</t>
  </si>
  <si>
    <t>Argentina</t>
  </si>
  <si>
    <t>Itália</t>
  </si>
  <si>
    <t>Reino Unido</t>
  </si>
  <si>
    <t>China</t>
  </si>
  <si>
    <t>Espanha</t>
  </si>
  <si>
    <t>Paraguai</t>
  </si>
  <si>
    <t>Arábia Saudita</t>
  </si>
  <si>
    <t>Uruguai</t>
  </si>
  <si>
    <t>Portugal</t>
  </si>
  <si>
    <t>África do Sul</t>
  </si>
  <si>
    <t>Chile</t>
  </si>
  <si>
    <t>Alemanha</t>
  </si>
  <si>
    <t>Vietnã</t>
  </si>
  <si>
    <t>Equador</t>
  </si>
  <si>
    <t>França</t>
  </si>
  <si>
    <t>Índia</t>
  </si>
  <si>
    <t>Emirados Árabes Unidos</t>
  </si>
  <si>
    <t>Bolívia</t>
  </si>
  <si>
    <t>Bélgica</t>
  </si>
  <si>
    <t>Indonésia</t>
  </si>
  <si>
    <t>Jamaica</t>
  </si>
  <si>
    <t>Colômbia</t>
  </si>
  <si>
    <t>Países Baixos (Holanda)</t>
  </si>
  <si>
    <t>EXP_EUA_2025</t>
  </si>
  <si>
    <t>EXP_EUA_2026</t>
  </si>
  <si>
    <t>Var_EXP_EUA_Pct</t>
  </si>
  <si>
    <t>EXP_Total_2025</t>
  </si>
  <si>
    <t>EXP_Total_2026</t>
  </si>
  <si>
    <t>Var_EXP_Total_Pct</t>
  </si>
  <si>
    <t>Share_EUA_2025_Pct</t>
  </si>
  <si>
    <t>Share_EUA_2026_Pct</t>
  </si>
  <si>
    <t>Var_Share_EUA_pp</t>
  </si>
  <si>
    <t>SC_EXP_2025</t>
  </si>
  <si>
    <t>BR_EXP_2025</t>
  </si>
  <si>
    <t>Part_Pct_2025</t>
  </si>
  <si>
    <t>SC_EXP_2026</t>
  </si>
  <si>
    <t>BR_EXP_2026</t>
  </si>
  <si>
    <t>Part_Pct_2026</t>
  </si>
  <si>
    <t>Var_SC_EXP_Pct</t>
  </si>
  <si>
    <t>Var_BR_EXP_Pct</t>
  </si>
  <si>
    <t>Var_Part_pp</t>
  </si>
  <si>
    <t>UF</t>
  </si>
  <si>
    <t>Rank_2025</t>
  </si>
  <si>
    <t>Var_Rank</t>
  </si>
  <si>
    <t>CE</t>
  </si>
  <si>
    <t>RS</t>
  </si>
  <si>
    <t>MT</t>
  </si>
  <si>
    <t>PI</t>
  </si>
  <si>
    <t>SC</t>
  </si>
  <si>
    <t>AC</t>
  </si>
  <si>
    <t>SP</t>
  </si>
  <si>
    <t>PA</t>
  </si>
  <si>
    <t>MS</t>
  </si>
  <si>
    <t>PR</t>
  </si>
  <si>
    <t>BA</t>
  </si>
  <si>
    <t>MG</t>
  </si>
  <si>
    <t>ES</t>
  </si>
  <si>
    <t>AP</t>
  </si>
  <si>
    <t>RO</t>
  </si>
  <si>
    <t>RJ</t>
  </si>
  <si>
    <t>MA</t>
  </si>
  <si>
    <t>Coreia do Sul</t>
  </si>
  <si>
    <t>Camboja</t>
  </si>
  <si>
    <t>Peru</t>
  </si>
  <si>
    <t>Nr_Dest_2024</t>
  </si>
  <si>
    <t>HHI_2024</t>
  </si>
  <si>
    <t>Gini_2024</t>
  </si>
  <si>
    <t>Top1_Share_2024</t>
  </si>
  <si>
    <t>Top3_Share_2024</t>
  </si>
  <si>
    <t>Top5_Share_2024</t>
  </si>
  <si>
    <t>Top1_Pais_2024</t>
  </si>
  <si>
    <t>Nr_Dest_2025</t>
  </si>
  <si>
    <t>HHI_2025</t>
  </si>
  <si>
    <t>Gini_2025</t>
  </si>
  <si>
    <t>Top1_Share_2025</t>
  </si>
  <si>
    <t>Top3_Share_2025</t>
  </si>
  <si>
    <t>Top5_Share_2025</t>
  </si>
  <si>
    <t>Top1_Pais_2025</t>
  </si>
  <si>
    <t>Nr_Dest_2026</t>
  </si>
  <si>
    <t>HHI_2026</t>
  </si>
  <si>
    <t>Gini_2026</t>
  </si>
  <si>
    <t>Top1_Share_2026</t>
  </si>
  <si>
    <t>Top3_Share_2026</t>
  </si>
  <si>
    <t>Top5_Share_2026</t>
  </si>
  <si>
    <t>Top1_Pais_2026</t>
  </si>
  <si>
    <t>Var_HHI_24_25</t>
  </si>
  <si>
    <t>Var_HHI_25_26</t>
  </si>
  <si>
    <t>Var_Gini_24_25</t>
  </si>
  <si>
    <t>Var_Gini_25_26</t>
  </si>
  <si>
    <t>Var_Dest_24_25</t>
  </si>
  <si>
    <t>Var_Dest_25_26</t>
  </si>
  <si>
    <t>Periodo</t>
  </si>
  <si>
    <t>Ano_Ref</t>
  </si>
  <si>
    <t>Nr_Destinos</t>
  </si>
  <si>
    <t>HHI</t>
  </si>
  <si>
    <t>Gini</t>
  </si>
  <si>
    <t>Top1_Pais</t>
  </si>
  <si>
    <t>Top1_Share_Pct</t>
  </si>
  <si>
    <t>Top3_Share_Pct</t>
  </si>
  <si>
    <t>Top5_Share_Pct</t>
  </si>
  <si>
    <t>2024 (ano fechado)</t>
  </si>
  <si>
    <t>2025 (ano fechado)</t>
  </si>
  <si>
    <t>2026 (Jan-Mai)</t>
  </si>
  <si>
    <t>EXP_2024</t>
  </si>
  <si>
    <t>EXP_2025</t>
  </si>
  <si>
    <t>EXP_2026</t>
  </si>
  <si>
    <t>Share_2024_Pct</t>
  </si>
  <si>
    <t>Var_Share_24_25_pp</t>
  </si>
  <si>
    <t>Var_Share_25_26_pp</t>
  </si>
  <si>
    <t>Var_EXP_24_25_Pct</t>
  </si>
  <si>
    <t>Var_EXP_25_26_Pct</t>
  </si>
  <si>
    <t>Ganhou_Perdeu_25_26</t>
  </si>
  <si>
    <t>PERDEU</t>
  </si>
  <si>
    <t>GANHOU</t>
  </si>
  <si>
    <t>ESTAVEL</t>
  </si>
  <si>
    <t>Porto Rico</t>
  </si>
  <si>
    <t>Rank</t>
  </si>
  <si>
    <t>EXP_USD</t>
  </si>
  <si>
    <t>Share_Pct</t>
  </si>
  <si>
    <t>República Dominicana</t>
  </si>
  <si>
    <t>Guatemala</t>
  </si>
  <si>
    <t>Malásia</t>
  </si>
  <si>
    <t>Israel</t>
  </si>
  <si>
    <t>Dinamarca</t>
  </si>
  <si>
    <t>Canadá</t>
  </si>
  <si>
    <t>Tcheca, República</t>
  </si>
  <si>
    <t>Turquia</t>
  </si>
  <si>
    <t>Venezuela</t>
  </si>
  <si>
    <t>Geórgia</t>
  </si>
  <si>
    <t>Taiwan (Formosa)</t>
  </si>
  <si>
    <t>Singapura</t>
  </si>
  <si>
    <t>Áustria</t>
  </si>
  <si>
    <t>Japão</t>
  </si>
  <si>
    <t>Irlanda</t>
  </si>
  <si>
    <t>Tailândia</t>
  </si>
  <si>
    <t>Rótulos de Linha</t>
  </si>
  <si>
    <t>Total Geral</t>
  </si>
  <si>
    <t>Soma de EXP_USD_2025</t>
  </si>
  <si>
    <t>Soma de EXP_USD_2026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</si>
</sst>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&quot;%&quot;"/>
    <numFmt numFmtId="165" formatCode="&quot;+&quot;\ 0.00&quot;%&quot;"/>
    <numFmt numFmtId="166" formatCode="#,##0.0"/>
    <numFmt numFmtId="167" formatCode="0.0000"/>
    <numFmt numFmtId="168" formatCode="&quot;+&quot;\ 0.0000"/>
    <numFmt numFmtId="169" formatCode="&quot;+&quot;\ #,##0.0"/>
    <numFmt numFmtId="172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rgb="FF375623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ED7D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2">
    <xf numFmtId="0" fontId="0" fillId="0" borderId="0" xfId="0"/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0" fillId="4" borderId="2" xfId="0" applyFill="1" applyBorder="1"/>
    <xf numFmtId="0" fontId="0" fillId="0" borderId="2" xfId="0" applyBorder="1"/>
    <xf numFmtId="0" fontId="3" fillId="5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3" fontId="5" fillId="4" borderId="2" xfId="0" applyNumberFormat="1" applyFont="1" applyFill="1" applyBorder="1"/>
    <xf numFmtId="164" fontId="6" fillId="0" borderId="2" xfId="0" applyNumberFormat="1" applyFont="1" applyBorder="1"/>
    <xf numFmtId="165" fontId="7" fillId="0" borderId="2" xfId="0" applyNumberFormat="1" applyFont="1" applyBorder="1"/>
    <xf numFmtId="164" fontId="5" fillId="4" borderId="2" xfId="0" applyNumberFormat="1" applyFont="1" applyFill="1" applyBorder="1"/>
    <xf numFmtId="0" fontId="5" fillId="0" borderId="2" xfId="0" applyFont="1" applyBorder="1"/>
    <xf numFmtId="3" fontId="5" fillId="0" borderId="2" xfId="0" applyNumberFormat="1" applyFont="1" applyBorder="1"/>
    <xf numFmtId="164" fontId="5" fillId="0" borderId="2" xfId="0" applyNumberFormat="1" applyFont="1" applyBorder="1"/>
    <xf numFmtId="166" fontId="5" fillId="4" borderId="2" xfId="0" applyNumberFormat="1" applyFont="1" applyFill="1" applyBorder="1"/>
    <xf numFmtId="167" fontId="5" fillId="4" borderId="2" xfId="0" applyNumberFormat="1" applyFont="1" applyFill="1" applyBorder="1"/>
    <xf numFmtId="166" fontId="6" fillId="0" borderId="2" xfId="0" applyNumberFormat="1" applyFont="1" applyBorder="1"/>
    <xf numFmtId="168" fontId="7" fillId="0" borderId="2" xfId="0" applyNumberFormat="1" applyFont="1" applyBorder="1"/>
    <xf numFmtId="167" fontId="6" fillId="0" borderId="2" xfId="0" applyNumberFormat="1" applyFont="1" applyBorder="1"/>
    <xf numFmtId="166" fontId="5" fillId="0" borderId="2" xfId="0" applyNumberFormat="1" applyFont="1" applyBorder="1"/>
    <xf numFmtId="167" fontId="5" fillId="0" borderId="2" xfId="0" applyNumberFormat="1" applyFont="1" applyBorder="1"/>
    <xf numFmtId="169" fontId="7" fillId="0" borderId="2" xfId="0" applyNumberFormat="1" applyFont="1" applyBorder="1"/>
    <xf numFmtId="1" fontId="5" fillId="4" borderId="2" xfId="0" applyNumberFormat="1" applyFont="1" applyFill="1" applyBorder="1"/>
    <xf numFmtId="1" fontId="5" fillId="0" borderId="2" xfId="0" applyNumberFormat="1" applyFont="1" applyBorder="1"/>
    <xf numFmtId="0" fontId="1" fillId="0" borderId="1" xfId="0" applyFont="1" applyBorder="1"/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72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'2_Mensal_Total'!$E$12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'2_Mensal_Total'!$D$13:$D$17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'2_Mensal_Total'!$E$13:$E$17</c:f>
              <c:numCache>
                <c:formatCode>_-* #,##0_-;\-* #,##0_-;_-* "-"??_-;_-@_-</c:formatCode>
                <c:ptCount val="5"/>
                <c:pt idx="0">
                  <c:v>140857878</c:v>
                </c:pt>
                <c:pt idx="1">
                  <c:v>159082566</c:v>
                </c:pt>
                <c:pt idx="2">
                  <c:v>171765775</c:v>
                </c:pt>
                <c:pt idx="3">
                  <c:v>176527546</c:v>
                </c:pt>
                <c:pt idx="4">
                  <c:v>174015532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A-4FDD-8A9C-6EE8A451A998}"/>
            </c:ext>
          </c:extLst>
        </c:ser>
        <c:ser>
          <c:idx val="1"/>
          <c:order val="1"/>
          <c:tx>
            <c:strRef>
              <c:f>'2_Mensal_Total'!$F$12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'2_Mensal_Total'!$D$13:$D$17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'2_Mensal_Total'!$F$13:$F$17</c:f>
              <c:numCache>
                <c:formatCode>_-* #,##0_-;\-* #,##0_-;_-* "-"??_-;_-@_-</c:formatCode>
                <c:ptCount val="5"/>
                <c:pt idx="0">
                  <c:v>119073057</c:v>
                </c:pt>
                <c:pt idx="1">
                  <c:v>122457067</c:v>
                </c:pt>
                <c:pt idx="2">
                  <c:v>139100860</c:v>
                </c:pt>
                <c:pt idx="3">
                  <c:v>160218276</c:v>
                </c:pt>
                <c:pt idx="4">
                  <c:v>162843511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A-4FDD-8A9C-6EE8A451A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789679"/>
        <c:axId val="1422787759"/>
      </c:barChart>
      <c:catAx>
        <c:axId val="142278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2787759"/>
        <c:crosses val="autoZero"/>
        <c:auto val="1"/>
        <c:lblAlgn val="ctr"/>
        <c:lblOffset val="100"/>
        <c:noMultiLvlLbl val="0"/>
      </c:catAx>
      <c:valAx>
        <c:axId val="1422787759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278967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938212</xdr:colOff>
      <xdr:row>18</xdr:row>
      <xdr:rowOff>66675</xdr:rowOff>
    </xdr:from>
    <xdr:to>
      <xdr:col>6</xdr:col>
      <xdr:colOff>1119187</xdr:colOff>
      <xdr:row>32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F5E7F3-F3EC-BD0E-C324-4E2EF473F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HAEMING" refreshedDate="46191.736866203704" createdVersion="8" refreshedVersion="8" minRefreshableVersion="3" recordCount="35" xr:uid="{6F93A1CF-FD1B-4480-B55B-FCF5C80DAF5F}">
  <cacheSource type="worksheet">
    <worksheetSource ref="A2:N37" sheet="4_Top_Produtos"/>
  </cacheSource>
  <cacheFields count="14">
    <cacheField name="Rank_2026" numFmtId="3">
      <sharedItems containsSemiMixedTypes="0" containsString="0" containsNumber="1" containsInteger="1" minValue="1" maxValue="35"/>
    </cacheField>
    <cacheField name="Produto" numFmtId="0">
      <sharedItems count="21">
        <s v="Madeira serrada"/>
        <s v="Madeira compensada"/>
        <s v="Obras de carpintaria para construções"/>
        <s v="Papel Kraft, não revestidos"/>
        <s v="Outros móveis"/>
        <s v="Lenha e desperdícios de madeira"/>
        <s v="Madeira em forma"/>
        <s v="Madeira MDF"/>
        <s v="Recipientes de papel"/>
        <s v="Madeira em bruto"/>
        <s v="Folheados"/>
        <s v="Outros papéis"/>
        <s v="Painéis de madeira aglomerada"/>
        <s v="Papel higiênico"/>
        <s v="Ferramentas de madeira"/>
        <s v="Papel para fabricação de papel higiênico"/>
        <s v="Outros artigos de madeira"/>
        <s v="Sucos"/>
        <s v="Edredons, almofadas e artigos semelhantes"/>
        <s v="Madeira densificada"/>
        <s v="Outros papeis e suas obras"/>
      </sharedItems>
    </cacheField>
    <cacheField name="Setor" numFmtId="0">
      <sharedItems/>
    </cacheField>
    <cacheField name="EXP_USD_2025" numFmtId="3">
      <sharedItems containsSemiMixedTypes="0" containsString="0" containsNumber="1" containsInteger="1" minValue="1633690" maxValue="153734124"/>
    </cacheField>
    <cacheField name="EXP_USD_2026" numFmtId="3">
      <sharedItems containsSemiMixedTypes="0" containsString="0" containsNumber="1" containsInteger="1" minValue="1637560" maxValue="160207970"/>
    </cacheField>
    <cacheField name="Var_EXP_USD_Pct" numFmtId="0">
      <sharedItems containsSemiMixedTypes="0" containsString="0" containsNumber="1" minValue="-71.599999999999994" maxValue="114.8"/>
    </cacheField>
    <cacheField name="EXP_Kg_2025" numFmtId="3">
      <sharedItems containsSemiMixedTypes="0" containsString="0" containsNumber="1" containsInteger="1" minValue="123800" maxValue="312836981"/>
    </cacheField>
    <cacheField name="EXP_Kg_2026" numFmtId="3">
      <sharedItems containsSemiMixedTypes="0" containsString="0" containsNumber="1" containsInteger="1" minValue="216245" maxValue="335030716"/>
    </cacheField>
    <cacheField name="Var_EXP_Kg_Pct" numFmtId="0">
      <sharedItems containsSemiMixedTypes="0" containsString="0" containsNumber="1" minValue="-68.2" maxValue="111.1"/>
    </cacheField>
    <cacheField name="Preco_Med_2025" numFmtId="3">
      <sharedItems containsSemiMixedTypes="0" containsString="0" containsNumber="1" minValue="0.08" maxValue="13.71"/>
    </cacheField>
    <cacheField name="Preco_Med_2026" numFmtId="3">
      <sharedItems containsSemiMixedTypes="0" containsString="0" containsNumber="1" minValue="0.08" maxValue="11.24"/>
    </cacheField>
    <cacheField name="Var_Preco_Med_Pct" numFmtId="0">
      <sharedItems containsSemiMixedTypes="0" containsString="0" containsNumber="1" minValue="-31.6" maxValue="46.7"/>
    </cacheField>
    <cacheField name="Nr_Destinos_2025" numFmtId="3">
      <sharedItems containsSemiMixedTypes="0" containsString="0" containsNumber="1" containsInteger="1" minValue="7" maxValue="67"/>
    </cacheField>
    <cacheField name="Nr_Destinos_2026" numFmtId="3">
      <sharedItems containsSemiMixedTypes="0" containsString="0" containsNumber="1" containsInteger="1" minValue="5" maxValue="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1"/>
    <x v="0"/>
    <s v="Madeira e Móveis"/>
    <n v="153734124"/>
    <n v="160207970"/>
    <n v="4.2"/>
    <n v="312836981"/>
    <n v="335030716"/>
    <n v="7.1"/>
    <n v="0.49"/>
    <n v="0.48"/>
    <n v="-2"/>
    <n v="49"/>
    <n v="56"/>
  </r>
  <r>
    <n v="2"/>
    <x v="1"/>
    <s v="Madeira e Móveis"/>
    <n v="108168608"/>
    <n v="87646167"/>
    <n v="-19"/>
    <n v="191697311"/>
    <n v="160711581"/>
    <n v="-16.2"/>
    <n v="0.56000000000000005"/>
    <n v="0.55000000000000004"/>
    <n v="-1.8"/>
    <n v="67"/>
    <n v="66"/>
  </r>
  <r>
    <n v="3"/>
    <x v="2"/>
    <s v="Madeira e Móveis"/>
    <n v="104309093"/>
    <n v="68915332"/>
    <n v="-33.9"/>
    <n v="44090987"/>
    <n v="33224380"/>
    <n v="-24.6"/>
    <n v="2.37"/>
    <n v="2.0699999999999998"/>
    <n v="-12.7"/>
    <n v="49"/>
    <n v="46"/>
  </r>
  <r>
    <n v="4"/>
    <x v="3"/>
    <s v="Papel e Celulose"/>
    <n v="50024838"/>
    <n v="63928962"/>
    <n v="27.8"/>
    <n v="81470329"/>
    <n v="108797288"/>
    <n v="33.5"/>
    <n v="0.61"/>
    <n v="0.59"/>
    <n v="-3.3"/>
    <n v="32"/>
    <n v="34"/>
  </r>
  <r>
    <n v="5"/>
    <x v="4"/>
    <s v="Madeira e Móveis"/>
    <n v="45998227"/>
    <n v="33116883"/>
    <n v="-28"/>
    <n v="18966317"/>
    <n v="13966960"/>
    <n v="-26.4"/>
    <n v="2.4300000000000002"/>
    <n v="2.37"/>
    <n v="-2.5"/>
    <n v="59"/>
    <n v="56"/>
  </r>
  <r>
    <n v="6"/>
    <x v="4"/>
    <s v="Madeira e Móveis"/>
    <n v="50787375"/>
    <n v="32462220"/>
    <n v="-36.1"/>
    <n v="22448563"/>
    <n v="16298203"/>
    <n v="-27.4"/>
    <n v="2.2599999999999998"/>
    <n v="1.99"/>
    <n v="-11.9"/>
    <n v="54"/>
    <n v="65"/>
  </r>
  <r>
    <n v="7"/>
    <x v="5"/>
    <s v="Madeira e Móveis"/>
    <n v="15827776"/>
    <n v="26326758"/>
    <n v="66.3"/>
    <n v="106609302"/>
    <n v="119302345"/>
    <n v="11.9"/>
    <n v="0.15"/>
    <n v="0.22"/>
    <n v="46.7"/>
    <n v="14"/>
    <n v="11"/>
  </r>
  <r>
    <n v="8"/>
    <x v="6"/>
    <s v="Madeira e Móveis"/>
    <n v="51146531"/>
    <n v="25085630"/>
    <n v="-51"/>
    <n v="31945635"/>
    <n v="17485674"/>
    <n v="-45.3"/>
    <n v="1.6"/>
    <n v="1.43"/>
    <n v="-10.6"/>
    <n v="11"/>
    <n v="14"/>
  </r>
  <r>
    <n v="9"/>
    <x v="7"/>
    <s v="Madeira e Móveis"/>
    <n v="24650267"/>
    <n v="21481589"/>
    <n v="-12.9"/>
    <n v="73911037"/>
    <n v="62012466"/>
    <n v="-16.100000000000001"/>
    <n v="0.33"/>
    <n v="0.35"/>
    <n v="6.1"/>
    <n v="30"/>
    <n v="31"/>
  </r>
  <r>
    <n v="10"/>
    <x v="8"/>
    <s v="Papel e Celulose"/>
    <n v="21261042"/>
    <n v="20026242"/>
    <n v="-5.8"/>
    <n v="14476882"/>
    <n v="16100424"/>
    <n v="11.2"/>
    <n v="1.47"/>
    <n v="1.24"/>
    <n v="-15.6"/>
    <n v="23"/>
    <n v="22"/>
  </r>
  <r>
    <n v="11"/>
    <x v="3"/>
    <s v="Papel e Celulose"/>
    <n v="22968130"/>
    <n v="18945793"/>
    <n v="-17.5"/>
    <n v="35948336"/>
    <n v="26268860"/>
    <n v="-26.9"/>
    <n v="0.64"/>
    <n v="0.72"/>
    <n v="12.5"/>
    <n v="47"/>
    <n v="38"/>
  </r>
  <r>
    <n v="12"/>
    <x v="9"/>
    <s v="Produção Florestal"/>
    <n v="20355854"/>
    <n v="14439592"/>
    <n v="-29.1"/>
    <n v="256205018"/>
    <n v="175969684"/>
    <n v="-31.3"/>
    <n v="0.08"/>
    <n v="0.08"/>
    <n v="0"/>
    <n v="7"/>
    <n v="8"/>
  </r>
  <r>
    <n v="13"/>
    <x v="3"/>
    <s v="Papel e Celulose"/>
    <n v="11641341"/>
    <n v="12661650"/>
    <n v="8.8000000000000007"/>
    <n v="15060544"/>
    <n v="15855376"/>
    <n v="5.3"/>
    <n v="0.77"/>
    <n v="0.8"/>
    <n v="3.9"/>
    <n v="22"/>
    <n v="20"/>
  </r>
  <r>
    <n v="14"/>
    <x v="10"/>
    <s v="Madeira e Móveis"/>
    <n v="8182683"/>
    <n v="10954533"/>
    <n v="33.9"/>
    <n v="35058946"/>
    <n v="41796844"/>
    <n v="19.2"/>
    <n v="0.23"/>
    <n v="0.26"/>
    <n v="13"/>
    <n v="11"/>
    <n v="14"/>
  </r>
  <r>
    <n v="15"/>
    <x v="11"/>
    <s v="Papel e Celulose"/>
    <n v="8458616"/>
    <n v="10092535"/>
    <n v="19.3"/>
    <n v="13747351"/>
    <n v="16905470"/>
    <n v="23"/>
    <n v="0.62"/>
    <n v="0.6"/>
    <n v="-3.2"/>
    <n v="10"/>
    <n v="9"/>
  </r>
  <r>
    <n v="16"/>
    <x v="2"/>
    <s v="Madeira e Móveis"/>
    <n v="10701195"/>
    <n v="8094940"/>
    <n v="-24.4"/>
    <n v="9365492"/>
    <n v="6825654"/>
    <n v="-27.1"/>
    <n v="1.1399999999999999"/>
    <n v="1.19"/>
    <n v="4.4000000000000004"/>
    <n v="19"/>
    <n v="19"/>
  </r>
  <r>
    <n v="17"/>
    <x v="12"/>
    <s v="Madeira e Móveis"/>
    <n v="17175744"/>
    <n v="7279430"/>
    <n v="-57.6"/>
    <n v="51021829"/>
    <n v="21520785"/>
    <n v="-57.8"/>
    <n v="0.34"/>
    <n v="0.34"/>
    <n v="0"/>
    <n v="9"/>
    <n v="13"/>
  </r>
  <r>
    <n v="18"/>
    <x v="13"/>
    <s v="Papel e Celulose"/>
    <n v="5539558"/>
    <n v="6443476"/>
    <n v="16.3"/>
    <n v="3718181"/>
    <n v="4153727"/>
    <n v="11.7"/>
    <n v="1.49"/>
    <n v="1.55"/>
    <n v="4"/>
    <n v="13"/>
    <n v="15"/>
  </r>
  <r>
    <n v="19"/>
    <x v="14"/>
    <s v="Madeira e Móveis"/>
    <n v="5960005"/>
    <n v="4765631"/>
    <n v="-20"/>
    <n v="3301719"/>
    <n v="2511419"/>
    <n v="-23.9"/>
    <n v="1.81"/>
    <n v="1.9"/>
    <n v="5"/>
    <n v="15"/>
    <n v="15"/>
  </r>
  <r>
    <n v="20"/>
    <x v="1"/>
    <s v="Madeira e Móveis"/>
    <n v="2074080"/>
    <n v="4454102"/>
    <n v="114.8"/>
    <n v="2674263"/>
    <n v="5646170"/>
    <n v="111.1"/>
    <n v="0.78"/>
    <n v="0.79"/>
    <n v="1.3"/>
    <n v="14"/>
    <n v="13"/>
  </r>
  <r>
    <n v="21"/>
    <x v="7"/>
    <s v="Madeira e Móveis"/>
    <n v="3390430"/>
    <n v="4176740"/>
    <n v="23.2"/>
    <n v="9575735"/>
    <n v="11789133"/>
    <n v="23.1"/>
    <n v="0.35"/>
    <n v="0.35"/>
    <n v="0"/>
    <n v="25"/>
    <n v="23"/>
  </r>
  <r>
    <n v="22"/>
    <x v="7"/>
    <s v="Madeira e Móveis"/>
    <n v="4477782"/>
    <n v="3780832"/>
    <n v="-15.6"/>
    <n v="9317086"/>
    <n v="6875611"/>
    <n v="-26.2"/>
    <n v="0.48"/>
    <n v="0.55000000000000004"/>
    <n v="14.6"/>
    <n v="17"/>
    <n v="17"/>
  </r>
  <r>
    <n v="23"/>
    <x v="15"/>
    <s v="Papel e Celulose"/>
    <n v="7564649"/>
    <n v="3694914"/>
    <n v="-51.2"/>
    <n v="6704410"/>
    <n v="3131178"/>
    <n v="-53.3"/>
    <n v="1.1299999999999999"/>
    <n v="1.18"/>
    <n v="4.4000000000000004"/>
    <n v="7"/>
    <n v="5"/>
  </r>
  <r>
    <n v="24"/>
    <x v="8"/>
    <s v="Papel e Celulose"/>
    <n v="5256470"/>
    <n v="3648969"/>
    <n v="-30.6"/>
    <n v="5016333"/>
    <n v="3451695"/>
    <n v="-31.2"/>
    <n v="1.05"/>
    <n v="1.06"/>
    <n v="1"/>
    <n v="27"/>
    <n v="16"/>
  </r>
  <r>
    <n v="25"/>
    <x v="7"/>
    <s v="Madeira e Móveis"/>
    <n v="1978511"/>
    <n v="3521011"/>
    <n v="78"/>
    <n v="5785601"/>
    <n v="10851977"/>
    <n v="87.6"/>
    <n v="0.34"/>
    <n v="0.32"/>
    <n v="-5.9"/>
    <n v="19"/>
    <n v="17"/>
  </r>
  <r>
    <n v="26"/>
    <x v="8"/>
    <s v="Papel e Celulose"/>
    <n v="3069410"/>
    <n v="3343594"/>
    <n v="8.9"/>
    <n v="1445786"/>
    <n v="2307461"/>
    <n v="59.6"/>
    <n v="2.12"/>
    <n v="1.45"/>
    <n v="-31.6"/>
    <n v="15"/>
    <n v="25"/>
  </r>
  <r>
    <n v="27"/>
    <x v="4"/>
    <s v="Madeira e Móveis"/>
    <n v="3766943"/>
    <n v="3333506"/>
    <n v="-11.5"/>
    <n v="1812676"/>
    <n v="1624260"/>
    <n v="-10.4"/>
    <n v="2.08"/>
    <n v="2.0499999999999998"/>
    <n v="-1.4"/>
    <n v="30"/>
    <n v="28"/>
  </r>
  <r>
    <n v="28"/>
    <x v="16"/>
    <s v="Madeira e Móveis"/>
    <n v="3613720"/>
    <n v="3154329"/>
    <n v="-12.7"/>
    <n v="2389852"/>
    <n v="2213121"/>
    <n v="-7.4"/>
    <n v="1.51"/>
    <n v="1.43"/>
    <n v="-5.3"/>
    <n v="25"/>
    <n v="21"/>
  </r>
  <r>
    <n v="29"/>
    <x v="12"/>
    <s v="Madeira e Móveis"/>
    <n v="2303553"/>
    <n v="3047222"/>
    <n v="32.299999999999997"/>
    <n v="4582812"/>
    <n v="6102404"/>
    <n v="33.200000000000003"/>
    <n v="0.5"/>
    <n v="0.5"/>
    <n v="0"/>
    <n v="12"/>
    <n v="15"/>
  </r>
  <r>
    <n v="30"/>
    <x v="17"/>
    <s v="Produção Florestal"/>
    <n v="1697761"/>
    <n v="2429922"/>
    <n v="43.1"/>
    <n v="123800"/>
    <n v="216245"/>
    <n v="74.7"/>
    <n v="13.71"/>
    <n v="11.24"/>
    <n v="-18"/>
    <n v="19"/>
    <n v="23"/>
  </r>
  <r>
    <n v="31"/>
    <x v="18"/>
    <s v="Madeira e Móveis"/>
    <n v="2316859"/>
    <n v="2138831"/>
    <n v="-7.7"/>
    <n v="405514"/>
    <n v="334618"/>
    <n v="-17.5"/>
    <n v="5.71"/>
    <n v="6.39"/>
    <n v="11.9"/>
    <n v="10"/>
    <n v="10"/>
  </r>
  <r>
    <n v="32"/>
    <x v="19"/>
    <s v="Madeira e Móveis"/>
    <n v="7373265"/>
    <n v="2090958"/>
    <n v="-71.599999999999994"/>
    <n v="15280595"/>
    <n v="4861803"/>
    <n v="-68.2"/>
    <n v="0.48"/>
    <n v="0.43"/>
    <n v="-10.4"/>
    <n v="9"/>
    <n v="5"/>
  </r>
  <r>
    <n v="33"/>
    <x v="20"/>
    <s v="Papel e Celulose"/>
    <n v="2059877"/>
    <n v="2046285"/>
    <n v="-0.7"/>
    <n v="2969705"/>
    <n v="3029676"/>
    <n v="2"/>
    <n v="0.69"/>
    <n v="0.68"/>
    <n v="-1.4"/>
    <n v="22"/>
    <n v="20"/>
  </r>
  <r>
    <n v="34"/>
    <x v="18"/>
    <s v="Madeira e Móveis"/>
    <n v="1633690"/>
    <n v="1690086"/>
    <n v="3.5"/>
    <n v="284313"/>
    <n v="315466"/>
    <n v="11"/>
    <n v="5.75"/>
    <n v="5.36"/>
    <n v="-6.8"/>
    <n v="19"/>
    <n v="21"/>
  </r>
  <r>
    <n v="35"/>
    <x v="4"/>
    <s v="Madeira e Móveis"/>
    <n v="3072107"/>
    <n v="1637560"/>
    <n v="-46.7"/>
    <n v="962742"/>
    <n v="487975"/>
    <n v="-49.3"/>
    <n v="3.19"/>
    <n v="3.36"/>
    <n v="5.3"/>
    <n v="26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F08CF-C636-477B-8116-3BD6D37ECBDC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4:E66" firstHeaderRow="0" firstDataRow="1" firstDataCol="1"/>
  <pivotFields count="14">
    <pivotField numFmtId="3" showAll="0"/>
    <pivotField axis="axisRow" showAll="0" sortType="descending">
      <items count="22">
        <item x="18"/>
        <item x="14"/>
        <item x="10"/>
        <item x="5"/>
        <item x="1"/>
        <item x="19"/>
        <item x="9"/>
        <item x="6"/>
        <item x="7"/>
        <item x="0"/>
        <item x="2"/>
        <item x="16"/>
        <item x="4"/>
        <item x="11"/>
        <item x="20"/>
        <item x="12"/>
        <item x="13"/>
        <item x="3"/>
        <item x="15"/>
        <item x="8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numFmtId="3" showAll="0"/>
    <pivotField dataField="1" numFmtId="3" showAll="0"/>
    <pivotField showAll="0"/>
    <pivotField numFmtId="3" showAll="0"/>
    <pivotField numFmtId="3" showAll="0"/>
    <pivotField showAll="0"/>
    <pivotField numFmtId="3" showAll="0"/>
    <pivotField numFmtId="3" showAll="0"/>
    <pivotField showAll="0"/>
    <pivotField numFmtId="3" showAll="0"/>
    <pivotField numFmtId="3" showAll="0"/>
  </pivotFields>
  <rowFields count="1">
    <field x="1"/>
  </rowFields>
  <rowItems count="22">
    <i>
      <x v="9"/>
    </i>
    <i>
      <x v="17"/>
    </i>
    <i>
      <x v="4"/>
    </i>
    <i>
      <x v="10"/>
    </i>
    <i>
      <x v="12"/>
    </i>
    <i>
      <x v="8"/>
    </i>
    <i>
      <x v="19"/>
    </i>
    <i>
      <x v="3"/>
    </i>
    <i>
      <x v="7"/>
    </i>
    <i>
      <x v="6"/>
    </i>
    <i>
      <x v="2"/>
    </i>
    <i>
      <x v="15"/>
    </i>
    <i>
      <x v="13"/>
    </i>
    <i>
      <x v="16"/>
    </i>
    <i>
      <x v="1"/>
    </i>
    <i>
      <x/>
    </i>
    <i>
      <x v="18"/>
    </i>
    <i>
      <x v="11"/>
    </i>
    <i>
      <x v="20"/>
    </i>
    <i>
      <x v="5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EXP_USD_2025" fld="3" baseField="0" baseItem="0" numFmtId="3"/>
    <dataField name="Soma de EXP_USD_2026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CE28FC-02D3-4A7E-9021-AF5FE77C707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424d7b5d-517b-46bd-b940-34e120ba02fd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workbookViewId="0"/>
  </sheetViews>
  <sheetFormatPr defaultRowHeight="15" x14ac:dyDescent="0.25"/>
  <cols>
    <col min="1" max="1" width="4.7109375" customWidth="1"/>
    <col min="2" max="2" width="36.7109375" customWidth="1"/>
    <col min="3" max="3" width="72.7109375" customWidth="1"/>
  </cols>
  <sheetData>
    <row r="2" spans="2:3" ht="18.75" x14ac:dyDescent="0.3">
      <c r="B2" s="25" t="s">
        <v>0</v>
      </c>
      <c r="C2" s="25"/>
    </row>
    <row r="3" spans="2:3" x14ac:dyDescent="0.25">
      <c r="B3" s="26" t="s">
        <v>1</v>
      </c>
      <c r="C3" s="26"/>
    </row>
    <row r="4" spans="2:3" x14ac:dyDescent="0.25">
      <c r="B4" s="26" t="s">
        <v>2</v>
      </c>
      <c r="C4" s="26"/>
    </row>
    <row r="6" spans="2:3" x14ac:dyDescent="0.25">
      <c r="B6" s="1" t="s">
        <v>3</v>
      </c>
      <c r="C6" s="1" t="s">
        <v>4</v>
      </c>
    </row>
    <row r="7" spans="2:3" x14ac:dyDescent="0.25">
      <c r="B7" s="2" t="s">
        <v>5</v>
      </c>
      <c r="C7" s="3" t="s">
        <v>6</v>
      </c>
    </row>
    <row r="8" spans="2:3" x14ac:dyDescent="0.25">
      <c r="B8" s="2" t="s">
        <v>7</v>
      </c>
      <c r="C8" s="4" t="s">
        <v>8</v>
      </c>
    </row>
    <row r="9" spans="2:3" x14ac:dyDescent="0.25">
      <c r="B9" s="2" t="s">
        <v>9</v>
      </c>
      <c r="C9" s="3" t="s">
        <v>10</v>
      </c>
    </row>
    <row r="10" spans="2:3" x14ac:dyDescent="0.25">
      <c r="B10" s="2" t="s">
        <v>11</v>
      </c>
      <c r="C10" s="4" t="s">
        <v>12</v>
      </c>
    </row>
    <row r="11" spans="2:3" x14ac:dyDescent="0.25">
      <c r="B11" s="2" t="s">
        <v>13</v>
      </c>
      <c r="C11" s="3" t="s">
        <v>14</v>
      </c>
    </row>
    <row r="12" spans="2:3" x14ac:dyDescent="0.25">
      <c r="B12" s="2" t="s">
        <v>15</v>
      </c>
      <c r="C12" s="4" t="s">
        <v>16</v>
      </c>
    </row>
    <row r="13" spans="2:3" x14ac:dyDescent="0.25">
      <c r="B13" s="2" t="s">
        <v>17</v>
      </c>
      <c r="C13" s="3" t="s">
        <v>18</v>
      </c>
    </row>
    <row r="14" spans="2:3" x14ac:dyDescent="0.25">
      <c r="B14" s="2" t="s">
        <v>19</v>
      </c>
      <c r="C14" s="4" t="s">
        <v>20</v>
      </c>
    </row>
    <row r="15" spans="2:3" x14ac:dyDescent="0.25">
      <c r="B15" s="2" t="s">
        <v>21</v>
      </c>
      <c r="C15" s="3" t="s">
        <v>22</v>
      </c>
    </row>
    <row r="16" spans="2:3" x14ac:dyDescent="0.25">
      <c r="B16" s="5" t="s">
        <v>23</v>
      </c>
      <c r="C16" s="4" t="s">
        <v>24</v>
      </c>
    </row>
    <row r="17" spans="2:3" x14ac:dyDescent="0.25">
      <c r="B17" s="5" t="s">
        <v>25</v>
      </c>
      <c r="C17" s="3" t="s">
        <v>26</v>
      </c>
    </row>
    <row r="18" spans="2:3" x14ac:dyDescent="0.25">
      <c r="B18" s="5" t="s">
        <v>27</v>
      </c>
      <c r="C18" s="4" t="s">
        <v>28</v>
      </c>
    </row>
    <row r="19" spans="2:3" x14ac:dyDescent="0.25">
      <c r="B19" s="5" t="s">
        <v>29</v>
      </c>
      <c r="C19" s="3" t="s">
        <v>30</v>
      </c>
    </row>
  </sheetData>
  <mergeCells count="3">
    <mergeCell ref="B2:C2"/>
    <mergeCell ref="B3:C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S1"/>
    </sheetView>
  </sheetViews>
  <sheetFormatPr defaultRowHeight="15" x14ac:dyDescent="0.25"/>
  <cols>
    <col min="1" max="1" width="29.7109375" customWidth="1"/>
    <col min="2" max="3" width="15.7109375" customWidth="1"/>
    <col min="4" max="4" width="14.7109375" customWidth="1"/>
    <col min="5" max="5" width="15.7109375" customWidth="1"/>
    <col min="6" max="6" width="19.7109375" customWidth="1"/>
    <col min="7" max="9" width="15.7109375" customWidth="1"/>
    <col min="10" max="10" width="14.7109375" customWidth="1"/>
    <col min="11" max="11" width="15.7109375" customWidth="1"/>
    <col min="12" max="12" width="19.7109375" customWidth="1"/>
    <col min="13" max="13" width="15.7109375" customWidth="1"/>
    <col min="14" max="15" width="18.7109375" customWidth="1"/>
    <col min="16" max="16" width="16.7109375" customWidth="1"/>
    <col min="17" max="17" width="17.7109375" customWidth="1"/>
    <col min="18" max="18" width="18.7109375" customWidth="1"/>
    <col min="19" max="19" width="14.7109375" customWidth="1"/>
  </cols>
  <sheetData>
    <row r="1" spans="1:19" ht="20.100000000000001" customHeight="1" x14ac:dyDescent="0.25">
      <c r="A1" s="27" t="s">
        <v>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9.950000000000003" customHeight="1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  <c r="Q2" s="6" t="s">
        <v>47</v>
      </c>
      <c r="R2" s="6" t="s">
        <v>48</v>
      </c>
      <c r="S2" s="6" t="s">
        <v>49</v>
      </c>
    </row>
    <row r="3" spans="1:19" x14ac:dyDescent="0.25">
      <c r="A3" s="7" t="s">
        <v>50</v>
      </c>
      <c r="B3" s="8">
        <v>539476441</v>
      </c>
      <c r="C3" s="8">
        <v>19600565</v>
      </c>
      <c r="D3" s="8">
        <v>519875876</v>
      </c>
      <c r="E3" s="8">
        <v>927800686</v>
      </c>
      <c r="F3" s="8">
        <v>107</v>
      </c>
      <c r="G3" s="8">
        <v>62</v>
      </c>
      <c r="H3" s="8">
        <v>453832619</v>
      </c>
      <c r="I3" s="8">
        <v>22497758</v>
      </c>
      <c r="J3" s="8">
        <v>431334861</v>
      </c>
      <c r="K3" s="8">
        <v>863470347</v>
      </c>
      <c r="L3" s="8">
        <v>121</v>
      </c>
      <c r="M3" s="8">
        <v>62</v>
      </c>
      <c r="N3" s="9">
        <v>-15.9</v>
      </c>
      <c r="O3" s="10">
        <v>14.8</v>
      </c>
      <c r="P3" s="9">
        <v>-17</v>
      </c>
      <c r="Q3" s="9">
        <v>-6.9</v>
      </c>
      <c r="R3" s="11">
        <v>14</v>
      </c>
      <c r="S3" s="11">
        <v>0</v>
      </c>
    </row>
    <row r="4" spans="1:19" x14ac:dyDescent="0.25">
      <c r="A4" s="12" t="s">
        <v>51</v>
      </c>
      <c r="B4" s="13">
        <v>111831134</v>
      </c>
      <c r="C4" s="13">
        <v>60542969</v>
      </c>
      <c r="D4" s="13">
        <v>51288165</v>
      </c>
      <c r="E4" s="13">
        <v>45980623</v>
      </c>
      <c r="F4" s="13">
        <v>73</v>
      </c>
      <c r="G4" s="13">
        <v>21</v>
      </c>
      <c r="H4" s="13">
        <v>78552941</v>
      </c>
      <c r="I4" s="13">
        <v>78568918</v>
      </c>
      <c r="J4" s="13">
        <v>-15977</v>
      </c>
      <c r="K4" s="13">
        <v>33944603</v>
      </c>
      <c r="L4" s="13">
        <v>80</v>
      </c>
      <c r="M4" s="13">
        <v>20</v>
      </c>
      <c r="N4" s="9">
        <v>-29.8</v>
      </c>
      <c r="O4" s="10">
        <v>29.8</v>
      </c>
      <c r="P4" s="9">
        <v>-100</v>
      </c>
      <c r="Q4" s="9">
        <v>-26.2</v>
      </c>
      <c r="R4" s="14">
        <v>7</v>
      </c>
      <c r="S4" s="14">
        <v>-1</v>
      </c>
    </row>
    <row r="5" spans="1:19" x14ac:dyDescent="0.25">
      <c r="A5" s="7" t="s">
        <v>52</v>
      </c>
      <c r="B5" s="8">
        <v>651307575</v>
      </c>
      <c r="C5" s="8">
        <v>80143534</v>
      </c>
      <c r="D5" s="8">
        <v>571164041</v>
      </c>
      <c r="E5" s="8">
        <v>973781309</v>
      </c>
      <c r="F5" s="8">
        <v>123</v>
      </c>
      <c r="G5" s="8">
        <v>83</v>
      </c>
      <c r="H5" s="8">
        <v>532385560</v>
      </c>
      <c r="I5" s="8">
        <v>101066676</v>
      </c>
      <c r="J5" s="8">
        <v>431318884</v>
      </c>
      <c r="K5" s="8">
        <v>897414950</v>
      </c>
      <c r="L5" s="8">
        <v>134</v>
      </c>
      <c r="M5" s="8">
        <v>82</v>
      </c>
      <c r="N5" s="9">
        <v>-18.3</v>
      </c>
      <c r="O5" s="10">
        <v>26.1</v>
      </c>
      <c r="P5" s="9">
        <v>-24.5</v>
      </c>
      <c r="Q5" s="9">
        <v>-7.8</v>
      </c>
      <c r="R5" s="11">
        <v>11</v>
      </c>
      <c r="S5" s="11">
        <v>-1</v>
      </c>
    </row>
    <row r="6" spans="1:19" x14ac:dyDescent="0.25">
      <c r="A6" s="12" t="s">
        <v>53</v>
      </c>
      <c r="B6" s="13">
        <v>148851896</v>
      </c>
      <c r="C6" s="13">
        <v>85069570</v>
      </c>
      <c r="D6" s="13">
        <v>63782326</v>
      </c>
      <c r="E6" s="13">
        <v>188845771</v>
      </c>
      <c r="F6" s="13">
        <v>86</v>
      </c>
      <c r="G6" s="13">
        <v>80</v>
      </c>
      <c r="H6" s="13">
        <v>154426241</v>
      </c>
      <c r="I6" s="13">
        <v>87849612</v>
      </c>
      <c r="J6" s="13">
        <v>66576629</v>
      </c>
      <c r="K6" s="13">
        <v>206850834</v>
      </c>
      <c r="L6" s="13">
        <v>88</v>
      </c>
      <c r="M6" s="13">
        <v>78</v>
      </c>
      <c r="N6" s="10">
        <v>3.7</v>
      </c>
      <c r="O6" s="10">
        <v>3.3</v>
      </c>
      <c r="P6" s="10">
        <v>4.4000000000000004</v>
      </c>
      <c r="Q6" s="10">
        <v>9.5</v>
      </c>
      <c r="R6" s="14">
        <v>2</v>
      </c>
      <c r="S6" s="14">
        <v>-2</v>
      </c>
    </row>
    <row r="7" spans="1:19" x14ac:dyDescent="0.25">
      <c r="A7" s="7" t="s">
        <v>54</v>
      </c>
      <c r="B7" s="8">
        <v>22089826</v>
      </c>
      <c r="C7" s="8">
        <v>10450700</v>
      </c>
      <c r="D7" s="8">
        <v>11639126</v>
      </c>
      <c r="E7" s="8">
        <v>256379729</v>
      </c>
      <c r="F7" s="8">
        <v>31</v>
      </c>
      <c r="G7" s="8">
        <v>4</v>
      </c>
      <c r="H7" s="8">
        <v>16880970</v>
      </c>
      <c r="I7" s="8">
        <v>7465457</v>
      </c>
      <c r="J7" s="8">
        <v>9415513</v>
      </c>
      <c r="K7" s="8">
        <v>176200945</v>
      </c>
      <c r="L7" s="8">
        <v>39</v>
      </c>
      <c r="M7" s="8">
        <v>5</v>
      </c>
      <c r="N7" s="9">
        <v>-23.6</v>
      </c>
      <c r="O7" s="9">
        <v>-28.6</v>
      </c>
      <c r="P7" s="9">
        <v>-19.100000000000001</v>
      </c>
      <c r="Q7" s="9">
        <v>-31.3</v>
      </c>
      <c r="R7" s="11">
        <v>8</v>
      </c>
      <c r="S7" s="11">
        <v>1</v>
      </c>
    </row>
    <row r="8" spans="1:19" x14ac:dyDescent="0.25">
      <c r="A8" s="12" t="s">
        <v>55</v>
      </c>
      <c r="B8" s="13">
        <v>822249297</v>
      </c>
      <c r="C8" s="13">
        <v>175663904</v>
      </c>
      <c r="D8" s="13">
        <v>646585393</v>
      </c>
      <c r="E8" s="13">
        <v>1419006809</v>
      </c>
      <c r="F8" s="13">
        <v>138</v>
      </c>
      <c r="G8" s="13">
        <v>167</v>
      </c>
      <c r="H8" s="13">
        <v>703692771</v>
      </c>
      <c r="I8" s="13">
        <v>196480205</v>
      </c>
      <c r="J8" s="13">
        <v>507212566</v>
      </c>
      <c r="K8" s="13">
        <v>1280466729</v>
      </c>
      <c r="L8" s="13">
        <v>146</v>
      </c>
      <c r="M8" s="13">
        <v>165</v>
      </c>
      <c r="N8" s="9">
        <v>-14.4</v>
      </c>
      <c r="O8" s="10">
        <v>11.9</v>
      </c>
      <c r="P8" s="9">
        <v>-21.6</v>
      </c>
      <c r="Q8" s="9">
        <v>-9.8000000000000007</v>
      </c>
      <c r="R8" s="14">
        <v>8</v>
      </c>
      <c r="S8" s="14">
        <v>-2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E13" sqref="E13"/>
    </sheetView>
  </sheetViews>
  <sheetFormatPr defaultRowHeight="15" x14ac:dyDescent="0.25"/>
  <cols>
    <col min="1" max="1" width="16.7109375" customWidth="1"/>
    <col min="2" max="3" width="15.7109375" customWidth="1"/>
    <col min="4" max="4" width="18.7109375" customWidth="1"/>
    <col min="5" max="6" width="15.7109375" customWidth="1"/>
    <col min="7" max="7" width="18.7109375" customWidth="1"/>
    <col min="8" max="9" width="15.7109375" customWidth="1"/>
    <col min="10" max="10" width="17.7109375" customWidth="1"/>
  </cols>
  <sheetData>
    <row r="1" spans="1:10" ht="20.100000000000001" customHeight="1" x14ac:dyDescent="0.25">
      <c r="A1" s="27" t="s">
        <v>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9.950000000000003" customHeight="1" x14ac:dyDescent="0.25">
      <c r="A2" s="6" t="s">
        <v>56</v>
      </c>
      <c r="B2" s="6" t="s">
        <v>32</v>
      </c>
      <c r="C2" s="6" t="s">
        <v>38</v>
      </c>
      <c r="D2" s="6" t="s">
        <v>44</v>
      </c>
      <c r="E2" s="6" t="s">
        <v>33</v>
      </c>
      <c r="F2" s="6" t="s">
        <v>39</v>
      </c>
      <c r="G2" s="6" t="s">
        <v>45</v>
      </c>
      <c r="H2" s="6" t="s">
        <v>35</v>
      </c>
      <c r="I2" s="6" t="s">
        <v>41</v>
      </c>
      <c r="J2" s="6" t="s">
        <v>47</v>
      </c>
    </row>
    <row r="3" spans="1:10" x14ac:dyDescent="0.25">
      <c r="A3" s="7" t="s">
        <v>57</v>
      </c>
      <c r="B3" s="8">
        <v>140857878</v>
      </c>
      <c r="C3" s="8">
        <v>119073057</v>
      </c>
      <c r="D3" s="9">
        <v>-15.5</v>
      </c>
      <c r="E3" s="8">
        <v>42778420</v>
      </c>
      <c r="F3" s="8">
        <v>36922234</v>
      </c>
      <c r="G3" s="9">
        <v>-13.7</v>
      </c>
      <c r="H3" s="8">
        <v>285825914</v>
      </c>
      <c r="I3" s="8">
        <v>250810827</v>
      </c>
      <c r="J3" s="9">
        <v>-12.3</v>
      </c>
    </row>
    <row r="4" spans="1:10" x14ac:dyDescent="0.25">
      <c r="A4" s="12" t="s">
        <v>58</v>
      </c>
      <c r="B4" s="13">
        <v>159082566</v>
      </c>
      <c r="C4" s="13">
        <v>122457067</v>
      </c>
      <c r="D4" s="9">
        <v>-23</v>
      </c>
      <c r="E4" s="13">
        <v>38657229</v>
      </c>
      <c r="F4" s="13">
        <v>35455247</v>
      </c>
      <c r="G4" s="9">
        <v>-8.3000000000000007</v>
      </c>
      <c r="H4" s="13">
        <v>266900464</v>
      </c>
      <c r="I4" s="13">
        <v>235553342</v>
      </c>
      <c r="J4" s="9">
        <v>-11.7</v>
      </c>
    </row>
    <row r="5" spans="1:10" x14ac:dyDescent="0.25">
      <c r="A5" s="7" t="s">
        <v>59</v>
      </c>
      <c r="B5" s="8">
        <v>171765775</v>
      </c>
      <c r="C5" s="8">
        <v>139100860</v>
      </c>
      <c r="D5" s="9">
        <v>-19</v>
      </c>
      <c r="E5" s="8">
        <v>34547787</v>
      </c>
      <c r="F5" s="8">
        <v>44785346</v>
      </c>
      <c r="G5" s="10">
        <v>29.6</v>
      </c>
      <c r="H5" s="8">
        <v>259383537</v>
      </c>
      <c r="I5" s="8">
        <v>248944897</v>
      </c>
      <c r="J5" s="9">
        <v>-4</v>
      </c>
    </row>
    <row r="6" spans="1:10" x14ac:dyDescent="0.25">
      <c r="A6" s="12" t="s">
        <v>60</v>
      </c>
      <c r="B6" s="13">
        <v>176527546</v>
      </c>
      <c r="C6" s="13">
        <v>160218276</v>
      </c>
      <c r="D6" s="9">
        <v>-9.1999999999999993</v>
      </c>
      <c r="E6" s="13">
        <v>30847848</v>
      </c>
      <c r="F6" s="13">
        <v>43005042</v>
      </c>
      <c r="G6" s="10">
        <v>39.4</v>
      </c>
      <c r="H6" s="13">
        <v>309525557</v>
      </c>
      <c r="I6" s="13">
        <v>273468985</v>
      </c>
      <c r="J6" s="9">
        <v>-11.6</v>
      </c>
    </row>
    <row r="7" spans="1:10" x14ac:dyDescent="0.25">
      <c r="A7" s="7" t="s">
        <v>61</v>
      </c>
      <c r="B7" s="8">
        <v>174015532</v>
      </c>
      <c r="C7" s="8">
        <v>162843511</v>
      </c>
      <c r="D7" s="9">
        <v>-6.4</v>
      </c>
      <c r="E7" s="8">
        <v>28832620</v>
      </c>
      <c r="F7" s="8">
        <v>36312336</v>
      </c>
      <c r="G7" s="10">
        <v>25.9</v>
      </c>
      <c r="H7" s="8">
        <v>297371337</v>
      </c>
      <c r="I7" s="8">
        <v>271688678</v>
      </c>
      <c r="J7" s="9">
        <v>-8.6</v>
      </c>
    </row>
    <row r="8" spans="1:10" x14ac:dyDescent="0.25">
      <c r="A8" s="12" t="s">
        <v>62</v>
      </c>
      <c r="B8" s="13">
        <v>822249297</v>
      </c>
      <c r="C8" s="13">
        <v>703692771</v>
      </c>
      <c r="D8" s="9">
        <v>-14.4</v>
      </c>
      <c r="E8" s="13">
        <v>175663904</v>
      </c>
      <c r="F8" s="13">
        <v>196480205</v>
      </c>
      <c r="G8" s="10">
        <v>11.9</v>
      </c>
      <c r="H8" s="13">
        <v>1419006809</v>
      </c>
      <c r="I8" s="13">
        <v>1280466729</v>
      </c>
      <c r="J8" s="9">
        <v>-9.8000000000000007</v>
      </c>
    </row>
    <row r="12" spans="1:10" x14ac:dyDescent="0.25">
      <c r="D12" t="s">
        <v>56</v>
      </c>
      <c r="E12">
        <v>2025</v>
      </c>
      <c r="F12">
        <v>2026</v>
      </c>
    </row>
    <row r="13" spans="1:10" x14ac:dyDescent="0.25">
      <c r="D13" t="s">
        <v>57</v>
      </c>
      <c r="E13" s="31">
        <v>140857878</v>
      </c>
      <c r="F13" s="31">
        <v>119073057</v>
      </c>
    </row>
    <row r="14" spans="1:10" x14ac:dyDescent="0.25">
      <c r="D14" t="s">
        <v>58</v>
      </c>
      <c r="E14" s="31">
        <v>159082566</v>
      </c>
      <c r="F14" s="31">
        <v>122457067</v>
      </c>
    </row>
    <row r="15" spans="1:10" x14ac:dyDescent="0.25">
      <c r="D15" t="s">
        <v>59</v>
      </c>
      <c r="E15" s="31">
        <v>171765775</v>
      </c>
      <c r="F15" s="31">
        <v>139100860</v>
      </c>
    </row>
    <row r="16" spans="1:10" x14ac:dyDescent="0.25">
      <c r="D16" t="s">
        <v>60</v>
      </c>
      <c r="E16" s="31">
        <v>176527546</v>
      </c>
      <c r="F16" s="31">
        <v>160218276</v>
      </c>
    </row>
    <row r="17" spans="4:6" x14ac:dyDescent="0.25">
      <c r="D17" t="s">
        <v>61</v>
      </c>
      <c r="E17" s="31">
        <v>174015532</v>
      </c>
      <c r="F17" s="31">
        <v>162843511</v>
      </c>
    </row>
    <row r="18" spans="4:6" x14ac:dyDescent="0.25">
      <c r="D18" t="s">
        <v>62</v>
      </c>
      <c r="E18" s="31">
        <v>822249297</v>
      </c>
      <c r="F18" s="31">
        <v>703692771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sqref="A1:H1"/>
    </sheetView>
  </sheetViews>
  <sheetFormatPr defaultRowHeight="15" x14ac:dyDescent="0.25"/>
  <cols>
    <col min="1" max="1" width="29.7109375" customWidth="1"/>
    <col min="2" max="2" width="11.7109375" customWidth="1"/>
    <col min="3" max="3" width="15.7109375" customWidth="1"/>
    <col min="4" max="4" width="14.7109375" customWidth="1"/>
    <col min="5" max="5" width="15.7109375" customWidth="1"/>
    <col min="6" max="6" width="14.7109375" customWidth="1"/>
    <col min="7" max="7" width="18.7109375" customWidth="1"/>
    <col min="8" max="8" width="17.7109375" customWidth="1"/>
  </cols>
  <sheetData>
    <row r="1" spans="1:8" ht="20.100000000000001" customHeight="1" x14ac:dyDescent="0.25">
      <c r="A1" s="27" t="s">
        <v>10</v>
      </c>
      <c r="B1" s="27"/>
      <c r="C1" s="27"/>
      <c r="D1" s="27"/>
      <c r="E1" s="27"/>
      <c r="F1" s="27"/>
      <c r="G1" s="27"/>
      <c r="H1" s="27"/>
    </row>
    <row r="2" spans="1:8" ht="39.950000000000003" customHeight="1" x14ac:dyDescent="0.25">
      <c r="A2" s="6" t="s">
        <v>31</v>
      </c>
      <c r="B2" s="6" t="s">
        <v>56</v>
      </c>
      <c r="C2" s="6" t="s">
        <v>32</v>
      </c>
      <c r="D2" s="6" t="s">
        <v>35</v>
      </c>
      <c r="E2" s="6" t="s">
        <v>38</v>
      </c>
      <c r="F2" s="6" t="s">
        <v>41</v>
      </c>
      <c r="G2" s="6" t="s">
        <v>44</v>
      </c>
      <c r="H2" s="6" t="s">
        <v>47</v>
      </c>
    </row>
    <row r="3" spans="1:8" x14ac:dyDescent="0.25">
      <c r="A3" s="7" t="s">
        <v>54</v>
      </c>
      <c r="B3" s="7" t="s">
        <v>57</v>
      </c>
      <c r="C3" s="8">
        <v>6802519</v>
      </c>
      <c r="D3" s="8">
        <v>81673573</v>
      </c>
      <c r="E3" s="8">
        <v>4356363</v>
      </c>
      <c r="F3" s="8">
        <v>46357078</v>
      </c>
      <c r="G3" s="9">
        <v>-36</v>
      </c>
      <c r="H3" s="9">
        <v>-43.2</v>
      </c>
    </row>
    <row r="4" spans="1:8" x14ac:dyDescent="0.25">
      <c r="A4" s="12" t="s">
        <v>54</v>
      </c>
      <c r="B4" s="12" t="s">
        <v>58</v>
      </c>
      <c r="C4" s="13">
        <v>2553119</v>
      </c>
      <c r="D4" s="13">
        <v>26153783</v>
      </c>
      <c r="E4" s="13">
        <v>5001047</v>
      </c>
      <c r="F4" s="13">
        <v>48407992</v>
      </c>
      <c r="G4" s="10">
        <v>95.9</v>
      </c>
      <c r="H4" s="10">
        <v>85.1</v>
      </c>
    </row>
    <row r="5" spans="1:8" x14ac:dyDescent="0.25">
      <c r="A5" s="7" t="s">
        <v>54</v>
      </c>
      <c r="B5" s="7" t="s">
        <v>59</v>
      </c>
      <c r="C5" s="8">
        <v>2012978</v>
      </c>
      <c r="D5" s="8">
        <v>24915795</v>
      </c>
      <c r="E5" s="8">
        <v>2747751</v>
      </c>
      <c r="F5" s="8">
        <v>30869776</v>
      </c>
      <c r="G5" s="10">
        <v>36.5</v>
      </c>
      <c r="H5" s="10">
        <v>23.9</v>
      </c>
    </row>
    <row r="6" spans="1:8" x14ac:dyDescent="0.25">
      <c r="A6" s="12" t="s">
        <v>54</v>
      </c>
      <c r="B6" s="12" t="s">
        <v>60</v>
      </c>
      <c r="C6" s="13">
        <v>5630532</v>
      </c>
      <c r="D6" s="13">
        <v>63245603</v>
      </c>
      <c r="E6" s="13">
        <v>2630782</v>
      </c>
      <c r="F6" s="13">
        <v>30185368</v>
      </c>
      <c r="G6" s="9">
        <v>-53.3</v>
      </c>
      <c r="H6" s="9">
        <v>-52.3</v>
      </c>
    </row>
    <row r="7" spans="1:8" x14ac:dyDescent="0.25">
      <c r="A7" s="7" t="s">
        <v>54</v>
      </c>
      <c r="B7" s="7" t="s">
        <v>61</v>
      </c>
      <c r="C7" s="8">
        <v>5090678</v>
      </c>
      <c r="D7" s="8">
        <v>60390975</v>
      </c>
      <c r="E7" s="8">
        <v>2145027</v>
      </c>
      <c r="F7" s="8">
        <v>20380731</v>
      </c>
      <c r="G7" s="9">
        <v>-57.9</v>
      </c>
      <c r="H7" s="9">
        <v>-66.3</v>
      </c>
    </row>
    <row r="8" spans="1:8" x14ac:dyDescent="0.25">
      <c r="A8" s="12" t="s">
        <v>55</v>
      </c>
      <c r="B8" s="12" t="s">
        <v>57</v>
      </c>
      <c r="C8" s="13">
        <v>140857878</v>
      </c>
      <c r="D8" s="13">
        <v>285825914</v>
      </c>
      <c r="E8" s="13">
        <v>119073057</v>
      </c>
      <c r="F8" s="13">
        <v>250810827</v>
      </c>
      <c r="G8" s="9">
        <v>-15.5</v>
      </c>
      <c r="H8" s="9">
        <v>-12.3</v>
      </c>
    </row>
    <row r="9" spans="1:8" x14ac:dyDescent="0.25">
      <c r="A9" s="7" t="s">
        <v>55</v>
      </c>
      <c r="B9" s="7" t="s">
        <v>58</v>
      </c>
      <c r="C9" s="8">
        <v>159082566</v>
      </c>
      <c r="D9" s="8">
        <v>266900464</v>
      </c>
      <c r="E9" s="8">
        <v>122457067</v>
      </c>
      <c r="F9" s="8">
        <v>235553342</v>
      </c>
      <c r="G9" s="9">
        <v>-23</v>
      </c>
      <c r="H9" s="9">
        <v>-11.7</v>
      </c>
    </row>
    <row r="10" spans="1:8" x14ac:dyDescent="0.25">
      <c r="A10" s="12" t="s">
        <v>55</v>
      </c>
      <c r="B10" s="12" t="s">
        <v>59</v>
      </c>
      <c r="C10" s="13">
        <v>171765775</v>
      </c>
      <c r="D10" s="13">
        <v>259383537</v>
      </c>
      <c r="E10" s="13">
        <v>139100860</v>
      </c>
      <c r="F10" s="13">
        <v>248944897</v>
      </c>
      <c r="G10" s="9">
        <v>-19</v>
      </c>
      <c r="H10" s="9">
        <v>-4</v>
      </c>
    </row>
    <row r="11" spans="1:8" x14ac:dyDescent="0.25">
      <c r="A11" s="7" t="s">
        <v>55</v>
      </c>
      <c r="B11" s="7" t="s">
        <v>60</v>
      </c>
      <c r="C11" s="8">
        <v>176527546</v>
      </c>
      <c r="D11" s="8">
        <v>309525557</v>
      </c>
      <c r="E11" s="8">
        <v>160218276</v>
      </c>
      <c r="F11" s="8">
        <v>273468985</v>
      </c>
      <c r="G11" s="9">
        <v>-9.1999999999999993</v>
      </c>
      <c r="H11" s="9">
        <v>-11.6</v>
      </c>
    </row>
    <row r="12" spans="1:8" x14ac:dyDescent="0.25">
      <c r="A12" s="12" t="s">
        <v>55</v>
      </c>
      <c r="B12" s="12" t="s">
        <v>61</v>
      </c>
      <c r="C12" s="13">
        <v>174015532</v>
      </c>
      <c r="D12" s="13">
        <v>297371337</v>
      </c>
      <c r="E12" s="13">
        <v>162843511</v>
      </c>
      <c r="F12" s="13">
        <v>271688678</v>
      </c>
      <c r="G12" s="9">
        <v>-6.4</v>
      </c>
      <c r="H12" s="9">
        <v>-8.6</v>
      </c>
    </row>
    <row r="13" spans="1:8" x14ac:dyDescent="0.25">
      <c r="A13" s="7" t="s">
        <v>50</v>
      </c>
      <c r="B13" s="7" t="s">
        <v>57</v>
      </c>
      <c r="C13" s="8">
        <v>88409327</v>
      </c>
      <c r="D13" s="8">
        <v>161435988</v>
      </c>
      <c r="E13" s="8">
        <v>76067190</v>
      </c>
      <c r="F13" s="8">
        <v>161458953</v>
      </c>
      <c r="G13" s="9">
        <v>-14</v>
      </c>
      <c r="H13" s="14">
        <v>0</v>
      </c>
    </row>
    <row r="14" spans="1:8" x14ac:dyDescent="0.25">
      <c r="A14" s="12" t="s">
        <v>50</v>
      </c>
      <c r="B14" s="12" t="s">
        <v>58</v>
      </c>
      <c r="C14" s="13">
        <v>108344211</v>
      </c>
      <c r="D14" s="13">
        <v>197005062</v>
      </c>
      <c r="E14" s="13">
        <v>73307636</v>
      </c>
      <c r="F14" s="13">
        <v>140538389</v>
      </c>
      <c r="G14" s="9">
        <v>-32.299999999999997</v>
      </c>
      <c r="H14" s="9">
        <v>-28.7</v>
      </c>
    </row>
    <row r="15" spans="1:8" x14ac:dyDescent="0.25">
      <c r="A15" s="7" t="s">
        <v>50</v>
      </c>
      <c r="B15" s="7" t="s">
        <v>59</v>
      </c>
      <c r="C15" s="8">
        <v>115417866</v>
      </c>
      <c r="D15" s="8">
        <v>189244768</v>
      </c>
      <c r="E15" s="8">
        <v>86588426</v>
      </c>
      <c r="F15" s="8">
        <v>165586099</v>
      </c>
      <c r="G15" s="9">
        <v>-25</v>
      </c>
      <c r="H15" s="9">
        <v>-12.5</v>
      </c>
    </row>
    <row r="16" spans="1:8" x14ac:dyDescent="0.25">
      <c r="A16" s="12" t="s">
        <v>50</v>
      </c>
      <c r="B16" s="12" t="s">
        <v>60</v>
      </c>
      <c r="C16" s="13">
        <v>117798992</v>
      </c>
      <c r="D16" s="13">
        <v>199464850</v>
      </c>
      <c r="E16" s="13">
        <v>108110021</v>
      </c>
      <c r="F16" s="13">
        <v>194911026</v>
      </c>
      <c r="G16" s="9">
        <v>-8.1999999999999993</v>
      </c>
      <c r="H16" s="9">
        <v>-2.2999999999999998</v>
      </c>
    </row>
    <row r="17" spans="1:8" x14ac:dyDescent="0.25">
      <c r="A17" s="7" t="s">
        <v>50</v>
      </c>
      <c r="B17" s="7" t="s">
        <v>61</v>
      </c>
      <c r="C17" s="8">
        <v>109506045</v>
      </c>
      <c r="D17" s="8">
        <v>180650018</v>
      </c>
      <c r="E17" s="8">
        <v>109759346</v>
      </c>
      <c r="F17" s="8">
        <v>200975880</v>
      </c>
      <c r="G17" s="10">
        <v>0.2</v>
      </c>
      <c r="H17" s="10">
        <v>11.3</v>
      </c>
    </row>
    <row r="18" spans="1:8" x14ac:dyDescent="0.25">
      <c r="A18" s="12" t="s">
        <v>52</v>
      </c>
      <c r="B18" s="12" t="s">
        <v>57</v>
      </c>
      <c r="C18" s="13">
        <v>105213857</v>
      </c>
      <c r="D18" s="13">
        <v>168407730</v>
      </c>
      <c r="E18" s="13">
        <v>85578546</v>
      </c>
      <c r="F18" s="13">
        <v>165701712</v>
      </c>
      <c r="G18" s="9">
        <v>-18.7</v>
      </c>
      <c r="H18" s="9">
        <v>-1.6</v>
      </c>
    </row>
    <row r="19" spans="1:8" x14ac:dyDescent="0.25">
      <c r="A19" s="7" t="s">
        <v>52</v>
      </c>
      <c r="B19" s="7" t="s">
        <v>58</v>
      </c>
      <c r="C19" s="8">
        <v>129443304</v>
      </c>
      <c r="D19" s="8">
        <v>206037297</v>
      </c>
      <c r="E19" s="8">
        <v>88056257</v>
      </c>
      <c r="F19" s="8">
        <v>147012439</v>
      </c>
      <c r="G19" s="9">
        <v>-32</v>
      </c>
      <c r="H19" s="9">
        <v>-28.6</v>
      </c>
    </row>
    <row r="20" spans="1:8" x14ac:dyDescent="0.25">
      <c r="A20" s="12" t="s">
        <v>52</v>
      </c>
      <c r="B20" s="12" t="s">
        <v>59</v>
      </c>
      <c r="C20" s="13">
        <v>141740284</v>
      </c>
      <c r="D20" s="13">
        <v>199859478</v>
      </c>
      <c r="E20" s="13">
        <v>102529397</v>
      </c>
      <c r="F20" s="13">
        <v>172325443</v>
      </c>
      <c r="G20" s="9">
        <v>-27.7</v>
      </c>
      <c r="H20" s="9">
        <v>-13.8</v>
      </c>
    </row>
    <row r="21" spans="1:8" x14ac:dyDescent="0.25">
      <c r="A21" s="7" t="s">
        <v>52</v>
      </c>
      <c r="B21" s="7" t="s">
        <v>60</v>
      </c>
      <c r="C21" s="8">
        <v>140935565</v>
      </c>
      <c r="D21" s="8">
        <v>208970303</v>
      </c>
      <c r="E21" s="8">
        <v>127586935</v>
      </c>
      <c r="F21" s="8">
        <v>203082446</v>
      </c>
      <c r="G21" s="9">
        <v>-9.5</v>
      </c>
      <c r="H21" s="9">
        <v>-2.8</v>
      </c>
    </row>
    <row r="22" spans="1:8" x14ac:dyDescent="0.25">
      <c r="A22" s="12" t="s">
        <v>52</v>
      </c>
      <c r="B22" s="12" t="s">
        <v>61</v>
      </c>
      <c r="C22" s="13">
        <v>133974565</v>
      </c>
      <c r="D22" s="13">
        <v>190506501</v>
      </c>
      <c r="E22" s="13">
        <v>128634425</v>
      </c>
      <c r="F22" s="13">
        <v>209292910</v>
      </c>
      <c r="G22" s="9">
        <v>-4</v>
      </c>
      <c r="H22" s="10">
        <v>9.9</v>
      </c>
    </row>
    <row r="23" spans="1:8" x14ac:dyDescent="0.25">
      <c r="A23" s="7" t="s">
        <v>51</v>
      </c>
      <c r="B23" s="7" t="s">
        <v>57</v>
      </c>
      <c r="C23" s="8">
        <v>16804530</v>
      </c>
      <c r="D23" s="8">
        <v>6971742</v>
      </c>
      <c r="E23" s="8">
        <v>9511356</v>
      </c>
      <c r="F23" s="8">
        <v>4242759</v>
      </c>
      <c r="G23" s="9">
        <v>-43.4</v>
      </c>
      <c r="H23" s="9">
        <v>-39.1</v>
      </c>
    </row>
    <row r="24" spans="1:8" x14ac:dyDescent="0.25">
      <c r="A24" s="12" t="s">
        <v>51</v>
      </c>
      <c r="B24" s="12" t="s">
        <v>58</v>
      </c>
      <c r="C24" s="13">
        <v>21099093</v>
      </c>
      <c r="D24" s="13">
        <v>9032235</v>
      </c>
      <c r="E24" s="13">
        <v>14748621</v>
      </c>
      <c r="F24" s="13">
        <v>6474050</v>
      </c>
      <c r="G24" s="9">
        <v>-30.1</v>
      </c>
      <c r="H24" s="9">
        <v>-28.3</v>
      </c>
    </row>
    <row r="25" spans="1:8" x14ac:dyDescent="0.25">
      <c r="A25" s="7" t="s">
        <v>51</v>
      </c>
      <c r="B25" s="7" t="s">
        <v>59</v>
      </c>
      <c r="C25" s="8">
        <v>26322418</v>
      </c>
      <c r="D25" s="8">
        <v>10614710</v>
      </c>
      <c r="E25" s="8">
        <v>15940971</v>
      </c>
      <c r="F25" s="8">
        <v>6739344</v>
      </c>
      <c r="G25" s="9">
        <v>-39.4</v>
      </c>
      <c r="H25" s="9">
        <v>-36.5</v>
      </c>
    </row>
    <row r="26" spans="1:8" x14ac:dyDescent="0.25">
      <c r="A26" s="12" t="s">
        <v>51</v>
      </c>
      <c r="B26" s="12" t="s">
        <v>60</v>
      </c>
      <c r="C26" s="13">
        <v>23136573</v>
      </c>
      <c r="D26" s="13">
        <v>9505453</v>
      </c>
      <c r="E26" s="13">
        <v>19476914</v>
      </c>
      <c r="F26" s="13">
        <v>8171420</v>
      </c>
      <c r="G26" s="9">
        <v>-15.8</v>
      </c>
      <c r="H26" s="9">
        <v>-14</v>
      </c>
    </row>
    <row r="27" spans="1:8" x14ac:dyDescent="0.25">
      <c r="A27" s="7" t="s">
        <v>51</v>
      </c>
      <c r="B27" s="7" t="s">
        <v>61</v>
      </c>
      <c r="C27" s="8">
        <v>24468520</v>
      </c>
      <c r="D27" s="8">
        <v>9856483</v>
      </c>
      <c r="E27" s="8">
        <v>18875079</v>
      </c>
      <c r="F27" s="8">
        <v>8317030</v>
      </c>
      <c r="G27" s="9">
        <v>-22.9</v>
      </c>
      <c r="H27" s="9">
        <v>-15.6</v>
      </c>
    </row>
    <row r="28" spans="1:8" x14ac:dyDescent="0.25">
      <c r="A28" s="12" t="s">
        <v>53</v>
      </c>
      <c r="B28" s="12" t="s">
        <v>57</v>
      </c>
      <c r="C28" s="13">
        <v>28841502</v>
      </c>
      <c r="D28" s="13">
        <v>35744611</v>
      </c>
      <c r="E28" s="13">
        <v>29138148</v>
      </c>
      <c r="F28" s="13">
        <v>38752037</v>
      </c>
      <c r="G28" s="10">
        <v>1</v>
      </c>
      <c r="H28" s="10">
        <v>8.4</v>
      </c>
    </row>
    <row r="29" spans="1:8" x14ac:dyDescent="0.25">
      <c r="A29" s="7" t="s">
        <v>53</v>
      </c>
      <c r="B29" s="7" t="s">
        <v>58</v>
      </c>
      <c r="C29" s="8">
        <v>27086143</v>
      </c>
      <c r="D29" s="8">
        <v>34709384</v>
      </c>
      <c r="E29" s="8">
        <v>29399763</v>
      </c>
      <c r="F29" s="8">
        <v>40132911</v>
      </c>
      <c r="G29" s="10">
        <v>8.5</v>
      </c>
      <c r="H29" s="10">
        <v>15.6</v>
      </c>
    </row>
    <row r="30" spans="1:8" x14ac:dyDescent="0.25">
      <c r="A30" s="12" t="s">
        <v>53</v>
      </c>
      <c r="B30" s="12" t="s">
        <v>59</v>
      </c>
      <c r="C30" s="13">
        <v>28012513</v>
      </c>
      <c r="D30" s="13">
        <v>34608264</v>
      </c>
      <c r="E30" s="13">
        <v>33823712</v>
      </c>
      <c r="F30" s="13">
        <v>45749678</v>
      </c>
      <c r="G30" s="10">
        <v>20.7</v>
      </c>
      <c r="H30" s="10">
        <v>32.200000000000003</v>
      </c>
    </row>
    <row r="31" spans="1:8" x14ac:dyDescent="0.25">
      <c r="A31" s="7" t="s">
        <v>53</v>
      </c>
      <c r="B31" s="7" t="s">
        <v>60</v>
      </c>
      <c r="C31" s="8">
        <v>29961449</v>
      </c>
      <c r="D31" s="8">
        <v>37309651</v>
      </c>
      <c r="E31" s="8">
        <v>30000559</v>
      </c>
      <c r="F31" s="8">
        <v>40201171</v>
      </c>
      <c r="G31" s="10">
        <v>0.1</v>
      </c>
      <c r="H31" s="10">
        <v>7.8</v>
      </c>
    </row>
    <row r="32" spans="1:8" x14ac:dyDescent="0.25">
      <c r="A32" s="12" t="s">
        <v>53</v>
      </c>
      <c r="B32" s="12" t="s">
        <v>61</v>
      </c>
      <c r="C32" s="13">
        <v>34950289</v>
      </c>
      <c r="D32" s="13">
        <v>46473861</v>
      </c>
      <c r="E32" s="13">
        <v>32064059</v>
      </c>
      <c r="F32" s="13">
        <v>42015037</v>
      </c>
      <c r="G32" s="9">
        <v>-8.3000000000000007</v>
      </c>
      <c r="H32" s="9">
        <v>-9.6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6"/>
  <sheetViews>
    <sheetView workbookViewId="0">
      <pane xSplit="2" ySplit="2" topLeftCell="C33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5" x14ac:dyDescent="0.25"/>
  <cols>
    <col min="1" max="1" width="12.7109375" customWidth="1"/>
    <col min="2" max="2" width="38.7109375" customWidth="1"/>
    <col min="3" max="3" width="40.28515625" bestFit="1" customWidth="1"/>
    <col min="4" max="5" width="22.42578125" bestFit="1" customWidth="1"/>
    <col min="6" max="6" width="18.7109375" customWidth="1"/>
    <col min="7" max="8" width="14.7109375" customWidth="1"/>
    <col min="9" max="11" width="17.7109375" customWidth="1"/>
    <col min="12" max="12" width="20.7109375" customWidth="1"/>
    <col min="13" max="14" width="19.7109375" customWidth="1"/>
  </cols>
  <sheetData>
    <row r="1" spans="1:14" ht="20.100000000000001" customHeight="1" x14ac:dyDescent="0.25">
      <c r="A1" s="27" t="s">
        <v>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39.950000000000003" customHeight="1" x14ac:dyDescent="0.25">
      <c r="A2" s="6" t="s">
        <v>63</v>
      </c>
      <c r="B2" s="6" t="s">
        <v>64</v>
      </c>
      <c r="C2" s="6" t="s">
        <v>31</v>
      </c>
      <c r="D2" s="6" t="s">
        <v>32</v>
      </c>
      <c r="E2" s="6" t="s">
        <v>38</v>
      </c>
      <c r="F2" s="6" t="s">
        <v>44</v>
      </c>
      <c r="G2" s="6" t="s">
        <v>35</v>
      </c>
      <c r="H2" s="6" t="s">
        <v>41</v>
      </c>
      <c r="I2" s="6" t="s">
        <v>47</v>
      </c>
      <c r="J2" s="6" t="s">
        <v>65</v>
      </c>
      <c r="K2" s="6" t="s">
        <v>66</v>
      </c>
      <c r="L2" s="6" t="s">
        <v>67</v>
      </c>
      <c r="M2" s="6" t="s">
        <v>36</v>
      </c>
      <c r="N2" s="6" t="s">
        <v>42</v>
      </c>
    </row>
    <row r="3" spans="1:14" x14ac:dyDescent="0.25">
      <c r="A3" s="8">
        <v>1</v>
      </c>
      <c r="B3" s="7" t="s">
        <v>68</v>
      </c>
      <c r="C3" s="7" t="s">
        <v>69</v>
      </c>
      <c r="D3" s="8">
        <v>153734124</v>
      </c>
      <c r="E3" s="8">
        <v>160207970</v>
      </c>
      <c r="F3" s="10">
        <v>4.2</v>
      </c>
      <c r="G3" s="8">
        <v>312836981</v>
      </c>
      <c r="H3" s="8">
        <v>335030716</v>
      </c>
      <c r="I3" s="10">
        <v>7.1</v>
      </c>
      <c r="J3" s="8">
        <v>0.49</v>
      </c>
      <c r="K3" s="8">
        <v>0.48</v>
      </c>
      <c r="L3" s="9">
        <v>-2</v>
      </c>
      <c r="M3" s="8">
        <v>49</v>
      </c>
      <c r="N3" s="8">
        <v>56</v>
      </c>
    </row>
    <row r="4" spans="1:14" x14ac:dyDescent="0.25">
      <c r="A4" s="13">
        <v>2</v>
      </c>
      <c r="B4" s="12" t="s">
        <v>70</v>
      </c>
      <c r="C4" s="12" t="s">
        <v>69</v>
      </c>
      <c r="D4" s="13">
        <v>108168608</v>
      </c>
      <c r="E4" s="13">
        <v>87646167</v>
      </c>
      <c r="F4" s="9">
        <v>-19</v>
      </c>
      <c r="G4" s="13">
        <v>191697311</v>
      </c>
      <c r="H4" s="13">
        <v>160711581</v>
      </c>
      <c r="I4" s="9">
        <v>-16.2</v>
      </c>
      <c r="J4" s="13">
        <v>0.56000000000000005</v>
      </c>
      <c r="K4" s="13">
        <v>0.55000000000000004</v>
      </c>
      <c r="L4" s="9">
        <v>-1.8</v>
      </c>
      <c r="M4" s="13">
        <v>67</v>
      </c>
      <c r="N4" s="13">
        <v>66</v>
      </c>
    </row>
    <row r="5" spans="1:14" x14ac:dyDescent="0.25">
      <c r="A5" s="8">
        <v>3</v>
      </c>
      <c r="B5" s="7" t="s">
        <v>71</v>
      </c>
      <c r="C5" s="7" t="s">
        <v>69</v>
      </c>
      <c r="D5" s="8">
        <v>104309093</v>
      </c>
      <c r="E5" s="8">
        <v>68915332</v>
      </c>
      <c r="F5" s="9">
        <v>-33.9</v>
      </c>
      <c r="G5" s="8">
        <v>44090987</v>
      </c>
      <c r="H5" s="8">
        <v>33224380</v>
      </c>
      <c r="I5" s="9">
        <v>-24.6</v>
      </c>
      <c r="J5" s="8">
        <v>2.37</v>
      </c>
      <c r="K5" s="8">
        <v>2.0699999999999998</v>
      </c>
      <c r="L5" s="9">
        <v>-12.7</v>
      </c>
      <c r="M5" s="8">
        <v>49</v>
      </c>
      <c r="N5" s="8">
        <v>46</v>
      </c>
    </row>
    <row r="6" spans="1:14" x14ac:dyDescent="0.25">
      <c r="A6" s="13">
        <v>4</v>
      </c>
      <c r="B6" s="12" t="s">
        <v>72</v>
      </c>
      <c r="C6" s="12" t="s">
        <v>73</v>
      </c>
      <c r="D6" s="13">
        <v>50024838</v>
      </c>
      <c r="E6" s="13">
        <v>63928962</v>
      </c>
      <c r="F6" s="10">
        <v>27.8</v>
      </c>
      <c r="G6" s="13">
        <v>81470329</v>
      </c>
      <c r="H6" s="13">
        <v>108797288</v>
      </c>
      <c r="I6" s="10">
        <v>33.5</v>
      </c>
      <c r="J6" s="13">
        <v>0.61</v>
      </c>
      <c r="K6" s="13">
        <v>0.59</v>
      </c>
      <c r="L6" s="9">
        <v>-3.3</v>
      </c>
      <c r="M6" s="13">
        <v>32</v>
      </c>
      <c r="N6" s="13">
        <v>34</v>
      </c>
    </row>
    <row r="7" spans="1:14" x14ac:dyDescent="0.25">
      <c r="A7" s="8">
        <v>5</v>
      </c>
      <c r="B7" s="7" t="s">
        <v>74</v>
      </c>
      <c r="C7" s="7" t="s">
        <v>69</v>
      </c>
      <c r="D7" s="8">
        <v>45998227</v>
      </c>
      <c r="E7" s="8">
        <v>33116883</v>
      </c>
      <c r="F7" s="9">
        <v>-28</v>
      </c>
      <c r="G7" s="8">
        <v>18966317</v>
      </c>
      <c r="H7" s="8">
        <v>13966960</v>
      </c>
      <c r="I7" s="9">
        <v>-26.4</v>
      </c>
      <c r="J7" s="8">
        <v>2.4300000000000002</v>
      </c>
      <c r="K7" s="8">
        <v>2.37</v>
      </c>
      <c r="L7" s="9">
        <v>-2.5</v>
      </c>
      <c r="M7" s="8">
        <v>59</v>
      </c>
      <c r="N7" s="8">
        <v>56</v>
      </c>
    </row>
    <row r="8" spans="1:14" x14ac:dyDescent="0.25">
      <c r="A8" s="13">
        <v>6</v>
      </c>
      <c r="B8" s="12" t="s">
        <v>74</v>
      </c>
      <c r="C8" s="12" t="s">
        <v>69</v>
      </c>
      <c r="D8" s="13">
        <v>50787375</v>
      </c>
      <c r="E8" s="13">
        <v>32462220</v>
      </c>
      <c r="F8" s="9">
        <v>-36.1</v>
      </c>
      <c r="G8" s="13">
        <v>22448563</v>
      </c>
      <c r="H8" s="13">
        <v>16298203</v>
      </c>
      <c r="I8" s="9">
        <v>-27.4</v>
      </c>
      <c r="J8" s="13">
        <v>2.2599999999999998</v>
      </c>
      <c r="K8" s="13">
        <v>1.99</v>
      </c>
      <c r="L8" s="9">
        <v>-11.9</v>
      </c>
      <c r="M8" s="13">
        <v>54</v>
      </c>
      <c r="N8" s="13">
        <v>65</v>
      </c>
    </row>
    <row r="9" spans="1:14" x14ac:dyDescent="0.25">
      <c r="A9" s="8">
        <v>7</v>
      </c>
      <c r="B9" s="7" t="s">
        <v>75</v>
      </c>
      <c r="C9" s="7" t="s">
        <v>69</v>
      </c>
      <c r="D9" s="8">
        <v>15827776</v>
      </c>
      <c r="E9" s="8">
        <v>26326758</v>
      </c>
      <c r="F9" s="10">
        <v>66.3</v>
      </c>
      <c r="G9" s="8">
        <v>106609302</v>
      </c>
      <c r="H9" s="8">
        <v>119302345</v>
      </c>
      <c r="I9" s="10">
        <v>11.9</v>
      </c>
      <c r="J9" s="8">
        <v>0.15</v>
      </c>
      <c r="K9" s="8">
        <v>0.22</v>
      </c>
      <c r="L9" s="10">
        <v>46.7</v>
      </c>
      <c r="M9" s="8">
        <v>14</v>
      </c>
      <c r="N9" s="8">
        <v>11</v>
      </c>
    </row>
    <row r="10" spans="1:14" x14ac:dyDescent="0.25">
      <c r="A10" s="13">
        <v>8</v>
      </c>
      <c r="B10" s="12" t="s">
        <v>76</v>
      </c>
      <c r="C10" s="12" t="s">
        <v>69</v>
      </c>
      <c r="D10" s="13">
        <v>51146531</v>
      </c>
      <c r="E10" s="13">
        <v>25085630</v>
      </c>
      <c r="F10" s="9">
        <v>-51</v>
      </c>
      <c r="G10" s="13">
        <v>31945635</v>
      </c>
      <c r="H10" s="13">
        <v>17485674</v>
      </c>
      <c r="I10" s="9">
        <v>-45.3</v>
      </c>
      <c r="J10" s="13">
        <v>1.6</v>
      </c>
      <c r="K10" s="13">
        <v>1.43</v>
      </c>
      <c r="L10" s="9">
        <v>-10.6</v>
      </c>
      <c r="M10" s="13">
        <v>11</v>
      </c>
      <c r="N10" s="13">
        <v>14</v>
      </c>
    </row>
    <row r="11" spans="1:14" x14ac:dyDescent="0.25">
      <c r="A11" s="8">
        <v>9</v>
      </c>
      <c r="B11" s="7" t="s">
        <v>77</v>
      </c>
      <c r="C11" s="7" t="s">
        <v>69</v>
      </c>
      <c r="D11" s="8">
        <v>24650267</v>
      </c>
      <c r="E11" s="8">
        <v>21481589</v>
      </c>
      <c r="F11" s="9">
        <v>-12.9</v>
      </c>
      <c r="G11" s="8">
        <v>73911037</v>
      </c>
      <c r="H11" s="8">
        <v>62012466</v>
      </c>
      <c r="I11" s="9">
        <v>-16.100000000000001</v>
      </c>
      <c r="J11" s="8">
        <v>0.33</v>
      </c>
      <c r="K11" s="8">
        <v>0.35</v>
      </c>
      <c r="L11" s="10">
        <v>6.1</v>
      </c>
      <c r="M11" s="8">
        <v>30</v>
      </c>
      <c r="N11" s="8">
        <v>31</v>
      </c>
    </row>
    <row r="12" spans="1:14" x14ac:dyDescent="0.25">
      <c r="A12" s="13">
        <v>10</v>
      </c>
      <c r="B12" s="12" t="s">
        <v>78</v>
      </c>
      <c r="C12" s="12" t="s">
        <v>73</v>
      </c>
      <c r="D12" s="13">
        <v>21261042</v>
      </c>
      <c r="E12" s="13">
        <v>20026242</v>
      </c>
      <c r="F12" s="9">
        <v>-5.8</v>
      </c>
      <c r="G12" s="13">
        <v>14476882</v>
      </c>
      <c r="H12" s="13">
        <v>16100424</v>
      </c>
      <c r="I12" s="10">
        <v>11.2</v>
      </c>
      <c r="J12" s="13">
        <v>1.47</v>
      </c>
      <c r="K12" s="13">
        <v>1.24</v>
      </c>
      <c r="L12" s="9">
        <v>-15.6</v>
      </c>
      <c r="M12" s="13">
        <v>23</v>
      </c>
      <c r="N12" s="13">
        <v>22</v>
      </c>
    </row>
    <row r="13" spans="1:14" x14ac:dyDescent="0.25">
      <c r="A13" s="8">
        <v>11</v>
      </c>
      <c r="B13" s="7" t="s">
        <v>72</v>
      </c>
      <c r="C13" s="7" t="s">
        <v>73</v>
      </c>
      <c r="D13" s="8">
        <v>22968130</v>
      </c>
      <c r="E13" s="8">
        <v>18945793</v>
      </c>
      <c r="F13" s="9">
        <v>-17.5</v>
      </c>
      <c r="G13" s="8">
        <v>35948336</v>
      </c>
      <c r="H13" s="8">
        <v>26268860</v>
      </c>
      <c r="I13" s="9">
        <v>-26.9</v>
      </c>
      <c r="J13" s="8">
        <v>0.64</v>
      </c>
      <c r="K13" s="8">
        <v>0.72</v>
      </c>
      <c r="L13" s="10">
        <v>12.5</v>
      </c>
      <c r="M13" s="8">
        <v>47</v>
      </c>
      <c r="N13" s="8">
        <v>38</v>
      </c>
    </row>
    <row r="14" spans="1:14" x14ac:dyDescent="0.25">
      <c r="A14" s="13">
        <v>12</v>
      </c>
      <c r="B14" s="12" t="s">
        <v>79</v>
      </c>
      <c r="C14" s="12" t="s">
        <v>80</v>
      </c>
      <c r="D14" s="13">
        <v>20355854</v>
      </c>
      <c r="E14" s="13">
        <v>14439592</v>
      </c>
      <c r="F14" s="9">
        <v>-29.1</v>
      </c>
      <c r="G14" s="13">
        <v>256205018</v>
      </c>
      <c r="H14" s="13">
        <v>175969684</v>
      </c>
      <c r="I14" s="9">
        <v>-31.3</v>
      </c>
      <c r="J14" s="13">
        <v>0.08</v>
      </c>
      <c r="K14" s="13">
        <v>0.08</v>
      </c>
      <c r="L14" s="14">
        <v>0</v>
      </c>
      <c r="M14" s="13">
        <v>7</v>
      </c>
      <c r="N14" s="13">
        <v>8</v>
      </c>
    </row>
    <row r="15" spans="1:14" x14ac:dyDescent="0.25">
      <c r="A15" s="8">
        <v>13</v>
      </c>
      <c r="B15" s="7" t="s">
        <v>72</v>
      </c>
      <c r="C15" s="7" t="s">
        <v>73</v>
      </c>
      <c r="D15" s="8">
        <v>11641341</v>
      </c>
      <c r="E15" s="8">
        <v>12661650</v>
      </c>
      <c r="F15" s="10">
        <v>8.8000000000000007</v>
      </c>
      <c r="G15" s="8">
        <v>15060544</v>
      </c>
      <c r="H15" s="8">
        <v>15855376</v>
      </c>
      <c r="I15" s="10">
        <v>5.3</v>
      </c>
      <c r="J15" s="8">
        <v>0.77</v>
      </c>
      <c r="K15" s="8">
        <v>0.8</v>
      </c>
      <c r="L15" s="10">
        <v>3.9</v>
      </c>
      <c r="M15" s="8">
        <v>22</v>
      </c>
      <c r="N15" s="8">
        <v>20</v>
      </c>
    </row>
    <row r="16" spans="1:14" x14ac:dyDescent="0.25">
      <c r="A16" s="13">
        <v>14</v>
      </c>
      <c r="B16" s="12" t="s">
        <v>81</v>
      </c>
      <c r="C16" s="12" t="s">
        <v>69</v>
      </c>
      <c r="D16" s="13">
        <v>8182683</v>
      </c>
      <c r="E16" s="13">
        <v>10954533</v>
      </c>
      <c r="F16" s="10">
        <v>33.9</v>
      </c>
      <c r="G16" s="13">
        <v>35058946</v>
      </c>
      <c r="H16" s="13">
        <v>41796844</v>
      </c>
      <c r="I16" s="10">
        <v>19.2</v>
      </c>
      <c r="J16" s="13">
        <v>0.23</v>
      </c>
      <c r="K16" s="13">
        <v>0.26</v>
      </c>
      <c r="L16" s="10">
        <v>13</v>
      </c>
      <c r="M16" s="13">
        <v>11</v>
      </c>
      <c r="N16" s="13">
        <v>14</v>
      </c>
    </row>
    <row r="17" spans="1:14" x14ac:dyDescent="0.25">
      <c r="A17" s="8">
        <v>15</v>
      </c>
      <c r="B17" s="7" t="s">
        <v>82</v>
      </c>
      <c r="C17" s="7" t="s">
        <v>73</v>
      </c>
      <c r="D17" s="8">
        <v>8458616</v>
      </c>
      <c r="E17" s="8">
        <v>10092535</v>
      </c>
      <c r="F17" s="10">
        <v>19.3</v>
      </c>
      <c r="G17" s="8">
        <v>13747351</v>
      </c>
      <c r="H17" s="8">
        <v>16905470</v>
      </c>
      <c r="I17" s="10">
        <v>23</v>
      </c>
      <c r="J17" s="8">
        <v>0.62</v>
      </c>
      <c r="K17" s="8">
        <v>0.6</v>
      </c>
      <c r="L17" s="9">
        <v>-3.2</v>
      </c>
      <c r="M17" s="8">
        <v>10</v>
      </c>
      <c r="N17" s="8">
        <v>9</v>
      </c>
    </row>
    <row r="18" spans="1:14" x14ac:dyDescent="0.25">
      <c r="A18" s="13">
        <v>16</v>
      </c>
      <c r="B18" s="12" t="s">
        <v>71</v>
      </c>
      <c r="C18" s="12" t="s">
        <v>69</v>
      </c>
      <c r="D18" s="13">
        <v>10701195</v>
      </c>
      <c r="E18" s="13">
        <v>8094940</v>
      </c>
      <c r="F18" s="9">
        <v>-24.4</v>
      </c>
      <c r="G18" s="13">
        <v>9365492</v>
      </c>
      <c r="H18" s="13">
        <v>6825654</v>
      </c>
      <c r="I18" s="9">
        <v>-27.1</v>
      </c>
      <c r="J18" s="13">
        <v>1.1399999999999999</v>
      </c>
      <c r="K18" s="13">
        <v>1.19</v>
      </c>
      <c r="L18" s="10">
        <v>4.4000000000000004</v>
      </c>
      <c r="M18" s="13">
        <v>19</v>
      </c>
      <c r="N18" s="13">
        <v>19</v>
      </c>
    </row>
    <row r="19" spans="1:14" x14ac:dyDescent="0.25">
      <c r="A19" s="8">
        <v>17</v>
      </c>
      <c r="B19" s="7" t="s">
        <v>83</v>
      </c>
      <c r="C19" s="7" t="s">
        <v>69</v>
      </c>
      <c r="D19" s="8">
        <v>17175744</v>
      </c>
      <c r="E19" s="8">
        <v>7279430</v>
      </c>
      <c r="F19" s="9">
        <v>-57.6</v>
      </c>
      <c r="G19" s="8">
        <v>51021829</v>
      </c>
      <c r="H19" s="8">
        <v>21520785</v>
      </c>
      <c r="I19" s="9">
        <v>-57.8</v>
      </c>
      <c r="J19" s="8">
        <v>0.34</v>
      </c>
      <c r="K19" s="8">
        <v>0.34</v>
      </c>
      <c r="L19" s="14">
        <v>0</v>
      </c>
      <c r="M19" s="8">
        <v>9</v>
      </c>
      <c r="N19" s="8">
        <v>13</v>
      </c>
    </row>
    <row r="20" spans="1:14" x14ac:dyDescent="0.25">
      <c r="A20" s="13">
        <v>18</v>
      </c>
      <c r="B20" s="12" t="s">
        <v>84</v>
      </c>
      <c r="C20" s="12" t="s">
        <v>73</v>
      </c>
      <c r="D20" s="13">
        <v>5539558</v>
      </c>
      <c r="E20" s="13">
        <v>6443476</v>
      </c>
      <c r="F20" s="10">
        <v>16.3</v>
      </c>
      <c r="G20" s="13">
        <v>3718181</v>
      </c>
      <c r="H20" s="13">
        <v>4153727</v>
      </c>
      <c r="I20" s="10">
        <v>11.7</v>
      </c>
      <c r="J20" s="13">
        <v>1.49</v>
      </c>
      <c r="K20" s="13">
        <v>1.55</v>
      </c>
      <c r="L20" s="10">
        <v>4</v>
      </c>
      <c r="M20" s="13">
        <v>13</v>
      </c>
      <c r="N20" s="13">
        <v>15</v>
      </c>
    </row>
    <row r="21" spans="1:14" x14ac:dyDescent="0.25">
      <c r="A21" s="8">
        <v>19</v>
      </c>
      <c r="B21" s="7" t="s">
        <v>85</v>
      </c>
      <c r="C21" s="7" t="s">
        <v>69</v>
      </c>
      <c r="D21" s="8">
        <v>5960005</v>
      </c>
      <c r="E21" s="8">
        <v>4765631</v>
      </c>
      <c r="F21" s="9">
        <v>-20</v>
      </c>
      <c r="G21" s="8">
        <v>3301719</v>
      </c>
      <c r="H21" s="8">
        <v>2511419</v>
      </c>
      <c r="I21" s="9">
        <v>-23.9</v>
      </c>
      <c r="J21" s="8">
        <v>1.81</v>
      </c>
      <c r="K21" s="8">
        <v>1.9</v>
      </c>
      <c r="L21" s="10">
        <v>5</v>
      </c>
      <c r="M21" s="8">
        <v>15</v>
      </c>
      <c r="N21" s="8">
        <v>15</v>
      </c>
    </row>
    <row r="22" spans="1:14" x14ac:dyDescent="0.25">
      <c r="A22" s="13">
        <v>20</v>
      </c>
      <c r="B22" s="12" t="s">
        <v>70</v>
      </c>
      <c r="C22" s="12" t="s">
        <v>69</v>
      </c>
      <c r="D22" s="13">
        <v>2074080</v>
      </c>
      <c r="E22" s="13">
        <v>4454102</v>
      </c>
      <c r="F22" s="10">
        <v>114.8</v>
      </c>
      <c r="G22" s="13">
        <v>2674263</v>
      </c>
      <c r="H22" s="13">
        <v>5646170</v>
      </c>
      <c r="I22" s="10">
        <v>111.1</v>
      </c>
      <c r="J22" s="13">
        <v>0.78</v>
      </c>
      <c r="K22" s="13">
        <v>0.79</v>
      </c>
      <c r="L22" s="10">
        <v>1.3</v>
      </c>
      <c r="M22" s="13">
        <v>14</v>
      </c>
      <c r="N22" s="13">
        <v>13</v>
      </c>
    </row>
    <row r="23" spans="1:14" x14ac:dyDescent="0.25">
      <c r="A23" s="8">
        <v>21</v>
      </c>
      <c r="B23" s="7" t="s">
        <v>77</v>
      </c>
      <c r="C23" s="7" t="s">
        <v>69</v>
      </c>
      <c r="D23" s="8">
        <v>3390430</v>
      </c>
      <c r="E23" s="8">
        <v>4176740</v>
      </c>
      <c r="F23" s="10">
        <v>23.2</v>
      </c>
      <c r="G23" s="8">
        <v>9575735</v>
      </c>
      <c r="H23" s="8">
        <v>11789133</v>
      </c>
      <c r="I23" s="10">
        <v>23.1</v>
      </c>
      <c r="J23" s="8">
        <v>0.35</v>
      </c>
      <c r="K23" s="8">
        <v>0.35</v>
      </c>
      <c r="L23" s="14">
        <v>0</v>
      </c>
      <c r="M23" s="8">
        <v>25</v>
      </c>
      <c r="N23" s="8">
        <v>23</v>
      </c>
    </row>
    <row r="24" spans="1:14" x14ac:dyDescent="0.25">
      <c r="A24" s="13">
        <v>22</v>
      </c>
      <c r="B24" s="12" t="s">
        <v>77</v>
      </c>
      <c r="C24" s="12" t="s">
        <v>69</v>
      </c>
      <c r="D24" s="13">
        <v>4477782</v>
      </c>
      <c r="E24" s="13">
        <v>3780832</v>
      </c>
      <c r="F24" s="9">
        <v>-15.6</v>
      </c>
      <c r="G24" s="13">
        <v>9317086</v>
      </c>
      <c r="H24" s="13">
        <v>6875611</v>
      </c>
      <c r="I24" s="9">
        <v>-26.2</v>
      </c>
      <c r="J24" s="13">
        <v>0.48</v>
      </c>
      <c r="K24" s="13">
        <v>0.55000000000000004</v>
      </c>
      <c r="L24" s="10">
        <v>14.6</v>
      </c>
      <c r="M24" s="13">
        <v>17</v>
      </c>
      <c r="N24" s="13">
        <v>17</v>
      </c>
    </row>
    <row r="25" spans="1:14" x14ac:dyDescent="0.25">
      <c r="A25" s="8">
        <v>23</v>
      </c>
      <c r="B25" s="7" t="s">
        <v>86</v>
      </c>
      <c r="C25" s="7" t="s">
        <v>73</v>
      </c>
      <c r="D25" s="8">
        <v>7564649</v>
      </c>
      <c r="E25" s="8">
        <v>3694914</v>
      </c>
      <c r="F25" s="9">
        <v>-51.2</v>
      </c>
      <c r="G25" s="8">
        <v>6704410</v>
      </c>
      <c r="H25" s="8">
        <v>3131178</v>
      </c>
      <c r="I25" s="9">
        <v>-53.3</v>
      </c>
      <c r="J25" s="8">
        <v>1.1299999999999999</v>
      </c>
      <c r="K25" s="8">
        <v>1.18</v>
      </c>
      <c r="L25" s="10">
        <v>4.4000000000000004</v>
      </c>
      <c r="M25" s="8">
        <v>7</v>
      </c>
      <c r="N25" s="8">
        <v>5</v>
      </c>
    </row>
    <row r="26" spans="1:14" x14ac:dyDescent="0.25">
      <c r="A26" s="13">
        <v>24</v>
      </c>
      <c r="B26" s="12" t="s">
        <v>78</v>
      </c>
      <c r="C26" s="12" t="s">
        <v>73</v>
      </c>
      <c r="D26" s="13">
        <v>5256470</v>
      </c>
      <c r="E26" s="13">
        <v>3648969</v>
      </c>
      <c r="F26" s="9">
        <v>-30.6</v>
      </c>
      <c r="G26" s="13">
        <v>5016333</v>
      </c>
      <c r="H26" s="13">
        <v>3451695</v>
      </c>
      <c r="I26" s="9">
        <v>-31.2</v>
      </c>
      <c r="J26" s="13">
        <v>1.05</v>
      </c>
      <c r="K26" s="13">
        <v>1.06</v>
      </c>
      <c r="L26" s="10">
        <v>1</v>
      </c>
      <c r="M26" s="13">
        <v>27</v>
      </c>
      <c r="N26" s="13">
        <v>16</v>
      </c>
    </row>
    <row r="27" spans="1:14" x14ac:dyDescent="0.25">
      <c r="A27" s="8">
        <v>25</v>
      </c>
      <c r="B27" s="7" t="s">
        <v>77</v>
      </c>
      <c r="C27" s="7" t="s">
        <v>69</v>
      </c>
      <c r="D27" s="8">
        <v>1978511</v>
      </c>
      <c r="E27" s="8">
        <v>3521011</v>
      </c>
      <c r="F27" s="10">
        <v>78</v>
      </c>
      <c r="G27" s="8">
        <v>5785601</v>
      </c>
      <c r="H27" s="8">
        <v>10851977</v>
      </c>
      <c r="I27" s="10">
        <v>87.6</v>
      </c>
      <c r="J27" s="8">
        <v>0.34</v>
      </c>
      <c r="K27" s="8">
        <v>0.32</v>
      </c>
      <c r="L27" s="9">
        <v>-5.9</v>
      </c>
      <c r="M27" s="8">
        <v>19</v>
      </c>
      <c r="N27" s="8">
        <v>17</v>
      </c>
    </row>
    <row r="28" spans="1:14" x14ac:dyDescent="0.25">
      <c r="A28" s="13">
        <v>26</v>
      </c>
      <c r="B28" s="12" t="s">
        <v>78</v>
      </c>
      <c r="C28" s="12" t="s">
        <v>73</v>
      </c>
      <c r="D28" s="13">
        <v>3069410</v>
      </c>
      <c r="E28" s="13">
        <v>3343594</v>
      </c>
      <c r="F28" s="10">
        <v>8.9</v>
      </c>
      <c r="G28" s="13">
        <v>1445786</v>
      </c>
      <c r="H28" s="13">
        <v>2307461</v>
      </c>
      <c r="I28" s="10">
        <v>59.6</v>
      </c>
      <c r="J28" s="13">
        <v>2.12</v>
      </c>
      <c r="K28" s="13">
        <v>1.45</v>
      </c>
      <c r="L28" s="9">
        <v>-31.6</v>
      </c>
      <c r="M28" s="13">
        <v>15</v>
      </c>
      <c r="N28" s="13">
        <v>25</v>
      </c>
    </row>
    <row r="29" spans="1:14" x14ac:dyDescent="0.25">
      <c r="A29" s="8">
        <v>27</v>
      </c>
      <c r="B29" s="7" t="s">
        <v>74</v>
      </c>
      <c r="C29" s="7" t="s">
        <v>69</v>
      </c>
      <c r="D29" s="8">
        <v>3766943</v>
      </c>
      <c r="E29" s="8">
        <v>3333506</v>
      </c>
      <c r="F29" s="9">
        <v>-11.5</v>
      </c>
      <c r="G29" s="8">
        <v>1812676</v>
      </c>
      <c r="H29" s="8">
        <v>1624260</v>
      </c>
      <c r="I29" s="9">
        <v>-10.4</v>
      </c>
      <c r="J29" s="8">
        <v>2.08</v>
      </c>
      <c r="K29" s="8">
        <v>2.0499999999999998</v>
      </c>
      <c r="L29" s="9">
        <v>-1.4</v>
      </c>
      <c r="M29" s="8">
        <v>30</v>
      </c>
      <c r="N29" s="8">
        <v>28</v>
      </c>
    </row>
    <row r="30" spans="1:14" x14ac:dyDescent="0.25">
      <c r="A30" s="13">
        <v>28</v>
      </c>
      <c r="B30" s="12" t="s">
        <v>87</v>
      </c>
      <c r="C30" s="12" t="s">
        <v>69</v>
      </c>
      <c r="D30" s="13">
        <v>3613720</v>
      </c>
      <c r="E30" s="13">
        <v>3154329</v>
      </c>
      <c r="F30" s="9">
        <v>-12.7</v>
      </c>
      <c r="G30" s="13">
        <v>2389852</v>
      </c>
      <c r="H30" s="13">
        <v>2213121</v>
      </c>
      <c r="I30" s="9">
        <v>-7.4</v>
      </c>
      <c r="J30" s="13">
        <v>1.51</v>
      </c>
      <c r="K30" s="13">
        <v>1.43</v>
      </c>
      <c r="L30" s="9">
        <v>-5.3</v>
      </c>
      <c r="M30" s="13">
        <v>25</v>
      </c>
      <c r="N30" s="13">
        <v>21</v>
      </c>
    </row>
    <row r="31" spans="1:14" x14ac:dyDescent="0.25">
      <c r="A31" s="8">
        <v>29</v>
      </c>
      <c r="B31" s="7" t="s">
        <v>83</v>
      </c>
      <c r="C31" s="7" t="s">
        <v>69</v>
      </c>
      <c r="D31" s="8">
        <v>2303553</v>
      </c>
      <c r="E31" s="8">
        <v>3047222</v>
      </c>
      <c r="F31" s="10">
        <v>32.299999999999997</v>
      </c>
      <c r="G31" s="8">
        <v>4582812</v>
      </c>
      <c r="H31" s="8">
        <v>6102404</v>
      </c>
      <c r="I31" s="10">
        <v>33.200000000000003</v>
      </c>
      <c r="J31" s="8">
        <v>0.5</v>
      </c>
      <c r="K31" s="8">
        <v>0.5</v>
      </c>
      <c r="L31" s="14">
        <v>0</v>
      </c>
      <c r="M31" s="8">
        <v>12</v>
      </c>
      <c r="N31" s="8">
        <v>15</v>
      </c>
    </row>
    <row r="32" spans="1:14" x14ac:dyDescent="0.25">
      <c r="A32" s="13">
        <v>30</v>
      </c>
      <c r="B32" s="12" t="s">
        <v>88</v>
      </c>
      <c r="C32" s="12" t="s">
        <v>80</v>
      </c>
      <c r="D32" s="13">
        <v>1697761</v>
      </c>
      <c r="E32" s="13">
        <v>2429922</v>
      </c>
      <c r="F32" s="10">
        <v>43.1</v>
      </c>
      <c r="G32" s="13">
        <v>123800</v>
      </c>
      <c r="H32" s="13">
        <v>216245</v>
      </c>
      <c r="I32" s="10">
        <v>74.7</v>
      </c>
      <c r="J32" s="13">
        <v>13.71</v>
      </c>
      <c r="K32" s="13">
        <v>11.24</v>
      </c>
      <c r="L32" s="9">
        <v>-18</v>
      </c>
      <c r="M32" s="13">
        <v>19</v>
      </c>
      <c r="N32" s="13">
        <v>23</v>
      </c>
    </row>
    <row r="33" spans="1:14" x14ac:dyDescent="0.25">
      <c r="A33" s="8">
        <v>31</v>
      </c>
      <c r="B33" s="7" t="s">
        <v>89</v>
      </c>
      <c r="C33" s="7" t="s">
        <v>69</v>
      </c>
      <c r="D33" s="8">
        <v>2316859</v>
      </c>
      <c r="E33" s="8">
        <v>2138831</v>
      </c>
      <c r="F33" s="9">
        <v>-7.7</v>
      </c>
      <c r="G33" s="8">
        <v>405514</v>
      </c>
      <c r="H33" s="8">
        <v>334618</v>
      </c>
      <c r="I33" s="9">
        <v>-17.5</v>
      </c>
      <c r="J33" s="8">
        <v>5.71</v>
      </c>
      <c r="K33" s="8">
        <v>6.39</v>
      </c>
      <c r="L33" s="10">
        <v>11.9</v>
      </c>
      <c r="M33" s="8">
        <v>10</v>
      </c>
      <c r="N33" s="8">
        <v>10</v>
      </c>
    </row>
    <row r="34" spans="1:14" x14ac:dyDescent="0.25">
      <c r="A34" s="13">
        <v>32</v>
      </c>
      <c r="B34" s="12" t="s">
        <v>90</v>
      </c>
      <c r="C34" s="12" t="s">
        <v>69</v>
      </c>
      <c r="D34" s="13">
        <v>7373265</v>
      </c>
      <c r="E34" s="13">
        <v>2090958</v>
      </c>
      <c r="F34" s="9">
        <v>-71.599999999999994</v>
      </c>
      <c r="G34" s="13">
        <v>15280595</v>
      </c>
      <c r="H34" s="13">
        <v>4861803</v>
      </c>
      <c r="I34" s="9">
        <v>-68.2</v>
      </c>
      <c r="J34" s="13">
        <v>0.48</v>
      </c>
      <c r="K34" s="13">
        <v>0.43</v>
      </c>
      <c r="L34" s="9">
        <v>-10.4</v>
      </c>
      <c r="M34" s="13">
        <v>9</v>
      </c>
      <c r="N34" s="13">
        <v>5</v>
      </c>
    </row>
    <row r="35" spans="1:14" x14ac:dyDescent="0.25">
      <c r="A35" s="8">
        <v>33</v>
      </c>
      <c r="B35" s="7" t="s">
        <v>91</v>
      </c>
      <c r="C35" s="7" t="s">
        <v>73</v>
      </c>
      <c r="D35" s="8">
        <v>2059877</v>
      </c>
      <c r="E35" s="8">
        <v>2046285</v>
      </c>
      <c r="F35" s="9">
        <v>-0.7</v>
      </c>
      <c r="G35" s="8">
        <v>2969705</v>
      </c>
      <c r="H35" s="8">
        <v>3029676</v>
      </c>
      <c r="I35" s="10">
        <v>2</v>
      </c>
      <c r="J35" s="8">
        <v>0.69</v>
      </c>
      <c r="K35" s="8">
        <v>0.68</v>
      </c>
      <c r="L35" s="9">
        <v>-1.4</v>
      </c>
      <c r="M35" s="8">
        <v>22</v>
      </c>
      <c r="N35" s="8">
        <v>20</v>
      </c>
    </row>
    <row r="36" spans="1:14" x14ac:dyDescent="0.25">
      <c r="A36" s="13">
        <v>34</v>
      </c>
      <c r="B36" s="12" t="s">
        <v>89</v>
      </c>
      <c r="C36" s="12" t="s">
        <v>69</v>
      </c>
      <c r="D36" s="13">
        <v>1633690</v>
      </c>
      <c r="E36" s="13">
        <v>1690086</v>
      </c>
      <c r="F36" s="10">
        <v>3.5</v>
      </c>
      <c r="G36" s="13">
        <v>284313</v>
      </c>
      <c r="H36" s="13">
        <v>315466</v>
      </c>
      <c r="I36" s="10">
        <v>11</v>
      </c>
      <c r="J36" s="13">
        <v>5.75</v>
      </c>
      <c r="K36" s="13">
        <v>5.36</v>
      </c>
      <c r="L36" s="9">
        <v>-6.8</v>
      </c>
      <c r="M36" s="13">
        <v>19</v>
      </c>
      <c r="N36" s="13">
        <v>21</v>
      </c>
    </row>
    <row r="37" spans="1:14" x14ac:dyDescent="0.25">
      <c r="A37" s="8">
        <v>35</v>
      </c>
      <c r="B37" s="7" t="s">
        <v>74</v>
      </c>
      <c r="C37" s="7" t="s">
        <v>69</v>
      </c>
      <c r="D37" s="8">
        <v>3072107</v>
      </c>
      <c r="E37" s="8">
        <v>1637560</v>
      </c>
      <c r="F37" s="9">
        <v>-46.7</v>
      </c>
      <c r="G37" s="8">
        <v>962742</v>
      </c>
      <c r="H37" s="8">
        <v>487975</v>
      </c>
      <c r="I37" s="9">
        <v>-49.3</v>
      </c>
      <c r="J37" s="8">
        <v>3.19</v>
      </c>
      <c r="K37" s="8">
        <v>3.36</v>
      </c>
      <c r="L37" s="10">
        <v>5.3</v>
      </c>
      <c r="M37" s="8">
        <v>26</v>
      </c>
      <c r="N37" s="8">
        <v>25</v>
      </c>
    </row>
    <row r="44" spans="1:14" x14ac:dyDescent="0.25">
      <c r="C44" s="28" t="s">
        <v>234</v>
      </c>
      <c r="D44" t="s">
        <v>236</v>
      </c>
      <c r="E44" t="s">
        <v>237</v>
      </c>
    </row>
    <row r="45" spans="1:14" x14ac:dyDescent="0.25">
      <c r="C45" s="29" t="s">
        <v>68</v>
      </c>
      <c r="D45" s="30">
        <v>153734124</v>
      </c>
      <c r="E45" s="30">
        <v>160207970</v>
      </c>
    </row>
    <row r="46" spans="1:14" x14ac:dyDescent="0.25">
      <c r="C46" s="29" t="s">
        <v>72</v>
      </c>
      <c r="D46" s="30">
        <v>84634309</v>
      </c>
      <c r="E46" s="30">
        <v>95536405</v>
      </c>
    </row>
    <row r="47" spans="1:14" x14ac:dyDescent="0.25">
      <c r="C47" s="29" t="s">
        <v>70</v>
      </c>
      <c r="D47" s="30">
        <v>110242688</v>
      </c>
      <c r="E47" s="30">
        <v>92100269</v>
      </c>
    </row>
    <row r="48" spans="1:14" x14ac:dyDescent="0.25">
      <c r="C48" s="29" t="s">
        <v>71</v>
      </c>
      <c r="D48" s="30">
        <v>115010288</v>
      </c>
      <c r="E48" s="30">
        <v>77010272</v>
      </c>
    </row>
    <row r="49" spans="3:5" x14ac:dyDescent="0.25">
      <c r="C49" s="29" t="s">
        <v>74</v>
      </c>
      <c r="D49" s="30">
        <v>103624652</v>
      </c>
      <c r="E49" s="30">
        <v>70550169</v>
      </c>
    </row>
    <row r="50" spans="3:5" x14ac:dyDescent="0.25">
      <c r="C50" s="29" t="s">
        <v>77</v>
      </c>
      <c r="D50" s="30">
        <v>34496990</v>
      </c>
      <c r="E50" s="30">
        <v>32960172</v>
      </c>
    </row>
    <row r="51" spans="3:5" x14ac:dyDescent="0.25">
      <c r="C51" s="29" t="s">
        <v>78</v>
      </c>
      <c r="D51" s="30">
        <v>29586922</v>
      </c>
      <c r="E51" s="30">
        <v>27018805</v>
      </c>
    </row>
    <row r="52" spans="3:5" x14ac:dyDescent="0.25">
      <c r="C52" s="29" t="s">
        <v>75</v>
      </c>
      <c r="D52" s="30">
        <v>15827776</v>
      </c>
      <c r="E52" s="30">
        <v>26326758</v>
      </c>
    </row>
    <row r="53" spans="3:5" x14ac:dyDescent="0.25">
      <c r="C53" s="29" t="s">
        <v>76</v>
      </c>
      <c r="D53" s="30">
        <v>51146531</v>
      </c>
      <c r="E53" s="30">
        <v>25085630</v>
      </c>
    </row>
    <row r="54" spans="3:5" x14ac:dyDescent="0.25">
      <c r="C54" s="29" t="s">
        <v>79</v>
      </c>
      <c r="D54" s="30">
        <v>20355854</v>
      </c>
      <c r="E54" s="30">
        <v>14439592</v>
      </c>
    </row>
    <row r="55" spans="3:5" x14ac:dyDescent="0.25">
      <c r="C55" s="29" t="s">
        <v>81</v>
      </c>
      <c r="D55" s="30">
        <v>8182683</v>
      </c>
      <c r="E55" s="30">
        <v>10954533</v>
      </c>
    </row>
    <row r="56" spans="3:5" x14ac:dyDescent="0.25">
      <c r="C56" s="29" t="s">
        <v>83</v>
      </c>
      <c r="D56" s="30">
        <v>19479297</v>
      </c>
      <c r="E56" s="30">
        <v>10326652</v>
      </c>
    </row>
    <row r="57" spans="3:5" x14ac:dyDescent="0.25">
      <c r="C57" s="29" t="s">
        <v>82</v>
      </c>
      <c r="D57" s="30">
        <v>8458616</v>
      </c>
      <c r="E57" s="30">
        <v>10092535</v>
      </c>
    </row>
    <row r="58" spans="3:5" x14ac:dyDescent="0.25">
      <c r="C58" s="29" t="s">
        <v>84</v>
      </c>
      <c r="D58" s="30">
        <v>5539558</v>
      </c>
      <c r="E58" s="30">
        <v>6443476</v>
      </c>
    </row>
    <row r="59" spans="3:5" x14ac:dyDescent="0.25">
      <c r="C59" s="29" t="s">
        <v>85</v>
      </c>
      <c r="D59" s="30">
        <v>5960005</v>
      </c>
      <c r="E59" s="30">
        <v>4765631</v>
      </c>
    </row>
    <row r="60" spans="3:5" x14ac:dyDescent="0.25">
      <c r="C60" s="29" t="s">
        <v>89</v>
      </c>
      <c r="D60" s="30">
        <v>3950549</v>
      </c>
      <c r="E60" s="30">
        <v>3828917</v>
      </c>
    </row>
    <row r="61" spans="3:5" x14ac:dyDescent="0.25">
      <c r="C61" s="29" t="s">
        <v>86</v>
      </c>
      <c r="D61" s="30">
        <v>7564649</v>
      </c>
      <c r="E61" s="30">
        <v>3694914</v>
      </c>
    </row>
    <row r="62" spans="3:5" x14ac:dyDescent="0.25">
      <c r="C62" s="29" t="s">
        <v>87</v>
      </c>
      <c r="D62" s="30">
        <v>3613720</v>
      </c>
      <c r="E62" s="30">
        <v>3154329</v>
      </c>
    </row>
    <row r="63" spans="3:5" x14ac:dyDescent="0.25">
      <c r="C63" s="29" t="s">
        <v>88</v>
      </c>
      <c r="D63" s="30">
        <v>1697761</v>
      </c>
      <c r="E63" s="30">
        <v>2429922</v>
      </c>
    </row>
    <row r="64" spans="3:5" x14ac:dyDescent="0.25">
      <c r="C64" s="29" t="s">
        <v>90</v>
      </c>
      <c r="D64" s="30">
        <v>7373265</v>
      </c>
      <c r="E64" s="30">
        <v>2090958</v>
      </c>
    </row>
    <row r="65" spans="3:5" x14ac:dyDescent="0.25">
      <c r="C65" s="29" t="s">
        <v>91</v>
      </c>
      <c r="D65" s="30">
        <v>2059877</v>
      </c>
      <c r="E65" s="30">
        <v>2046285</v>
      </c>
    </row>
    <row r="66" spans="3:5" x14ac:dyDescent="0.25">
      <c r="C66" s="29" t="s">
        <v>235</v>
      </c>
      <c r="D66" s="30">
        <v>792540114</v>
      </c>
      <c r="E66" s="30">
        <v>681064194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12.7109375" customWidth="1"/>
    <col min="2" max="2" width="26.7109375" customWidth="1"/>
    <col min="3" max="4" width="15.7109375" customWidth="1"/>
    <col min="5" max="5" width="14.7109375" customWidth="1"/>
    <col min="6" max="7" width="17.7109375" customWidth="1"/>
    <col min="8" max="8" width="15.7109375" customWidth="1"/>
    <col min="9" max="10" width="14.7109375" customWidth="1"/>
    <col min="11" max="12" width="15.7109375" customWidth="1"/>
  </cols>
  <sheetData>
    <row r="1" spans="1:12" ht="20.100000000000001" customHeight="1" x14ac:dyDescent="0.25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39.950000000000003" customHeight="1" x14ac:dyDescent="0.25">
      <c r="A2" s="6" t="s">
        <v>63</v>
      </c>
      <c r="B2" s="6" t="s">
        <v>92</v>
      </c>
      <c r="C2" s="6" t="s">
        <v>32</v>
      </c>
      <c r="D2" s="6" t="s">
        <v>38</v>
      </c>
      <c r="E2" s="6" t="s">
        <v>93</v>
      </c>
      <c r="F2" s="6" t="s">
        <v>94</v>
      </c>
      <c r="G2" s="6" t="s">
        <v>95</v>
      </c>
      <c r="H2" s="6" t="s">
        <v>96</v>
      </c>
      <c r="I2" s="6" t="s">
        <v>35</v>
      </c>
      <c r="J2" s="6" t="s">
        <v>41</v>
      </c>
      <c r="K2" s="6" t="s">
        <v>37</v>
      </c>
      <c r="L2" s="6" t="s">
        <v>43</v>
      </c>
    </row>
    <row r="3" spans="1:12" x14ac:dyDescent="0.25">
      <c r="A3" s="8">
        <v>1</v>
      </c>
      <c r="B3" s="7" t="s">
        <v>97</v>
      </c>
      <c r="C3" s="8">
        <v>322157140</v>
      </c>
      <c r="D3" s="8">
        <v>174416163</v>
      </c>
      <c r="E3" s="9">
        <v>-45.9</v>
      </c>
      <c r="F3" s="11">
        <v>39.18</v>
      </c>
      <c r="G3" s="11">
        <v>29.35</v>
      </c>
      <c r="H3" s="9">
        <v>-9.83</v>
      </c>
      <c r="I3" s="8">
        <v>304201881</v>
      </c>
      <c r="J3" s="8">
        <v>170251589</v>
      </c>
      <c r="K3" s="8">
        <v>74</v>
      </c>
      <c r="L3" s="8">
        <v>62</v>
      </c>
    </row>
    <row r="4" spans="1:12" x14ac:dyDescent="0.25">
      <c r="A4" s="13">
        <v>2</v>
      </c>
      <c r="B4" s="12" t="s">
        <v>98</v>
      </c>
      <c r="C4" s="13">
        <v>38323387</v>
      </c>
      <c r="D4" s="13">
        <v>53568518</v>
      </c>
      <c r="E4" s="10">
        <v>39.799999999999997</v>
      </c>
      <c r="F4" s="14">
        <v>4.66</v>
      </c>
      <c r="G4" s="14">
        <v>9.01</v>
      </c>
      <c r="H4" s="10">
        <v>4.3499999999999996</v>
      </c>
      <c r="I4" s="13">
        <v>66294054</v>
      </c>
      <c r="J4" s="13">
        <v>101340599</v>
      </c>
      <c r="K4" s="13">
        <v>37</v>
      </c>
      <c r="L4" s="13">
        <v>38</v>
      </c>
    </row>
    <row r="5" spans="1:12" x14ac:dyDescent="0.25">
      <c r="A5" s="8">
        <v>3</v>
      </c>
      <c r="B5" s="7" t="s">
        <v>99</v>
      </c>
      <c r="C5" s="8">
        <v>46766862</v>
      </c>
      <c r="D5" s="8">
        <v>44796199</v>
      </c>
      <c r="E5" s="9">
        <v>-4.2</v>
      </c>
      <c r="F5" s="11">
        <v>5.69</v>
      </c>
      <c r="G5" s="11">
        <v>7.54</v>
      </c>
      <c r="H5" s="10">
        <v>1.85</v>
      </c>
      <c r="I5" s="8">
        <v>59455311</v>
      </c>
      <c r="J5" s="8">
        <v>60479004</v>
      </c>
      <c r="K5" s="8">
        <v>66</v>
      </c>
      <c r="L5" s="8">
        <v>62</v>
      </c>
    </row>
    <row r="6" spans="1:12" x14ac:dyDescent="0.25">
      <c r="A6" s="13">
        <v>4</v>
      </c>
      <c r="B6" s="12" t="s">
        <v>100</v>
      </c>
      <c r="C6" s="13">
        <v>20084103</v>
      </c>
      <c r="D6" s="13">
        <v>36999249</v>
      </c>
      <c r="E6" s="10">
        <v>84.2</v>
      </c>
      <c r="F6" s="14">
        <v>2.44</v>
      </c>
      <c r="G6" s="14">
        <v>6.23</v>
      </c>
      <c r="H6" s="10">
        <v>3.79</v>
      </c>
      <c r="I6" s="13">
        <v>73671572</v>
      </c>
      <c r="J6" s="13">
        <v>123612529</v>
      </c>
      <c r="K6" s="13">
        <v>19</v>
      </c>
      <c r="L6" s="13">
        <v>29</v>
      </c>
    </row>
    <row r="7" spans="1:12" x14ac:dyDescent="0.25">
      <c r="A7" s="8">
        <v>5</v>
      </c>
      <c r="B7" s="7" t="s">
        <v>101</v>
      </c>
      <c r="C7" s="8">
        <v>25118016</v>
      </c>
      <c r="D7" s="8">
        <v>23536971</v>
      </c>
      <c r="E7" s="9">
        <v>-6.3</v>
      </c>
      <c r="F7" s="11">
        <v>3.05</v>
      </c>
      <c r="G7" s="11">
        <v>3.96</v>
      </c>
      <c r="H7" s="10">
        <v>0.91</v>
      </c>
      <c r="I7" s="8">
        <v>29961080</v>
      </c>
      <c r="J7" s="8">
        <v>30200624</v>
      </c>
      <c r="K7" s="8">
        <v>27</v>
      </c>
      <c r="L7" s="8">
        <v>23</v>
      </c>
    </row>
    <row r="8" spans="1:12" x14ac:dyDescent="0.25">
      <c r="A8" s="13">
        <v>6</v>
      </c>
      <c r="B8" s="12" t="s">
        <v>102</v>
      </c>
      <c r="C8" s="13">
        <v>42107958</v>
      </c>
      <c r="D8" s="13">
        <v>22464031</v>
      </c>
      <c r="E8" s="9">
        <v>-46.7</v>
      </c>
      <c r="F8" s="14">
        <v>5.12</v>
      </c>
      <c r="G8" s="14">
        <v>3.78</v>
      </c>
      <c r="H8" s="9">
        <v>-1.34</v>
      </c>
      <c r="I8" s="13">
        <v>215193484</v>
      </c>
      <c r="J8" s="13">
        <v>139237992</v>
      </c>
      <c r="K8" s="13">
        <v>16</v>
      </c>
      <c r="L8" s="13">
        <v>15</v>
      </c>
    </row>
    <row r="9" spans="1:12" x14ac:dyDescent="0.25">
      <c r="A9" s="8">
        <v>7</v>
      </c>
      <c r="B9" s="7" t="s">
        <v>103</v>
      </c>
      <c r="C9" s="8">
        <v>11405780</v>
      </c>
      <c r="D9" s="8">
        <v>21898854</v>
      </c>
      <c r="E9" s="10">
        <v>92</v>
      </c>
      <c r="F9" s="11">
        <v>1.39</v>
      </c>
      <c r="G9" s="11">
        <v>3.68</v>
      </c>
      <c r="H9" s="10">
        <v>2.29</v>
      </c>
      <c r="I9" s="8">
        <v>15561434</v>
      </c>
      <c r="J9" s="8">
        <v>38855075</v>
      </c>
      <c r="K9" s="8">
        <v>29</v>
      </c>
      <c r="L9" s="8">
        <v>30</v>
      </c>
    </row>
    <row r="10" spans="1:12" x14ac:dyDescent="0.25">
      <c r="A10" s="13">
        <v>8</v>
      </c>
      <c r="B10" s="12" t="s">
        <v>104</v>
      </c>
      <c r="C10" s="13">
        <v>18763578</v>
      </c>
      <c r="D10" s="13">
        <v>20880878</v>
      </c>
      <c r="E10" s="10">
        <v>11.3</v>
      </c>
      <c r="F10" s="14">
        <v>2.2799999999999998</v>
      </c>
      <c r="G10" s="14">
        <v>3.51</v>
      </c>
      <c r="H10" s="10">
        <v>1.23</v>
      </c>
      <c r="I10" s="13">
        <v>22540993</v>
      </c>
      <c r="J10" s="13">
        <v>22974768</v>
      </c>
      <c r="K10" s="13">
        <v>94</v>
      </c>
      <c r="L10" s="13">
        <v>91</v>
      </c>
    </row>
    <row r="11" spans="1:12" x14ac:dyDescent="0.25">
      <c r="A11" s="8">
        <v>9</v>
      </c>
      <c r="B11" s="7" t="s">
        <v>105</v>
      </c>
      <c r="C11" s="8">
        <v>22733047</v>
      </c>
      <c r="D11" s="8">
        <v>18507219</v>
      </c>
      <c r="E11" s="9">
        <v>-18.600000000000001</v>
      </c>
      <c r="F11" s="11">
        <v>2.76</v>
      </c>
      <c r="G11" s="11">
        <v>3.11</v>
      </c>
      <c r="H11" s="10">
        <v>0.35</v>
      </c>
      <c r="I11" s="8">
        <v>44823657</v>
      </c>
      <c r="J11" s="8">
        <v>36147671</v>
      </c>
      <c r="K11" s="8">
        <v>7</v>
      </c>
      <c r="L11" s="8">
        <v>11</v>
      </c>
    </row>
    <row r="12" spans="1:12" x14ac:dyDescent="0.25">
      <c r="A12" s="13">
        <v>10</v>
      </c>
      <c r="B12" s="12" t="s">
        <v>106</v>
      </c>
      <c r="C12" s="13">
        <v>18621563</v>
      </c>
      <c r="D12" s="13">
        <v>18254257</v>
      </c>
      <c r="E12" s="9">
        <v>-2</v>
      </c>
      <c r="F12" s="14">
        <v>2.2599999999999998</v>
      </c>
      <c r="G12" s="14">
        <v>3.07</v>
      </c>
      <c r="H12" s="10">
        <v>0.81</v>
      </c>
      <c r="I12" s="13">
        <v>13440293</v>
      </c>
      <c r="J12" s="13">
        <v>12789977</v>
      </c>
      <c r="K12" s="13">
        <v>77</v>
      </c>
      <c r="L12" s="13">
        <v>77</v>
      </c>
    </row>
    <row r="13" spans="1:12" x14ac:dyDescent="0.25">
      <c r="A13" s="8">
        <v>11</v>
      </c>
      <c r="B13" s="7" t="s">
        <v>107</v>
      </c>
      <c r="C13" s="8">
        <v>17908831</v>
      </c>
      <c r="D13" s="8">
        <v>17802429</v>
      </c>
      <c r="E13" s="9">
        <v>-0.6</v>
      </c>
      <c r="F13" s="11">
        <v>2.1800000000000002</v>
      </c>
      <c r="G13" s="11">
        <v>3</v>
      </c>
      <c r="H13" s="10">
        <v>0.82</v>
      </c>
      <c r="I13" s="8">
        <v>141056177</v>
      </c>
      <c r="J13" s="8">
        <v>93545940</v>
      </c>
      <c r="K13" s="8">
        <v>40</v>
      </c>
      <c r="L13" s="8">
        <v>31</v>
      </c>
    </row>
    <row r="14" spans="1:12" x14ac:dyDescent="0.25">
      <c r="A14" s="13">
        <v>12</v>
      </c>
      <c r="B14" s="12" t="s">
        <v>108</v>
      </c>
      <c r="C14" s="13">
        <v>4866967</v>
      </c>
      <c r="D14" s="13">
        <v>14833283</v>
      </c>
      <c r="E14" s="10">
        <v>204.8</v>
      </c>
      <c r="F14" s="14">
        <v>0.59</v>
      </c>
      <c r="G14" s="14">
        <v>2.5</v>
      </c>
      <c r="H14" s="10">
        <v>1.91</v>
      </c>
      <c r="I14" s="13">
        <v>7531171</v>
      </c>
      <c r="J14" s="13">
        <v>24233823</v>
      </c>
      <c r="K14" s="13">
        <v>20</v>
      </c>
      <c r="L14" s="13">
        <v>20</v>
      </c>
    </row>
    <row r="15" spans="1:12" x14ac:dyDescent="0.25">
      <c r="A15" s="8">
        <v>13</v>
      </c>
      <c r="B15" s="7" t="s">
        <v>109</v>
      </c>
      <c r="C15" s="8">
        <v>16327825</v>
      </c>
      <c r="D15" s="8">
        <v>14716745</v>
      </c>
      <c r="E15" s="9">
        <v>-9.9</v>
      </c>
      <c r="F15" s="11">
        <v>1.99</v>
      </c>
      <c r="G15" s="11">
        <v>2.48</v>
      </c>
      <c r="H15" s="10">
        <v>0.49</v>
      </c>
      <c r="I15" s="8">
        <v>21982042</v>
      </c>
      <c r="J15" s="8">
        <v>18441591</v>
      </c>
      <c r="K15" s="8">
        <v>53</v>
      </c>
      <c r="L15" s="8">
        <v>39</v>
      </c>
    </row>
    <row r="16" spans="1:12" x14ac:dyDescent="0.25">
      <c r="A16" s="13">
        <v>14</v>
      </c>
      <c r="B16" s="12" t="s">
        <v>110</v>
      </c>
      <c r="C16" s="13">
        <v>14238922</v>
      </c>
      <c r="D16" s="13">
        <v>14244206</v>
      </c>
      <c r="E16" s="14">
        <v>0</v>
      </c>
      <c r="F16" s="14">
        <v>1.73</v>
      </c>
      <c r="G16" s="14">
        <v>2.4</v>
      </c>
      <c r="H16" s="10">
        <v>0.67</v>
      </c>
      <c r="I16" s="13">
        <v>19504967</v>
      </c>
      <c r="J16" s="13">
        <v>20793588</v>
      </c>
      <c r="K16" s="13">
        <v>23</v>
      </c>
      <c r="L16" s="13">
        <v>22</v>
      </c>
    </row>
    <row r="17" spans="1:12" x14ac:dyDescent="0.25">
      <c r="A17" s="8">
        <v>15</v>
      </c>
      <c r="B17" s="7" t="s">
        <v>111</v>
      </c>
      <c r="C17" s="8">
        <v>11190750</v>
      </c>
      <c r="D17" s="8">
        <v>13801569</v>
      </c>
      <c r="E17" s="10">
        <v>23.3</v>
      </c>
      <c r="F17" s="11">
        <v>1.36</v>
      </c>
      <c r="G17" s="11">
        <v>2.3199999999999998</v>
      </c>
      <c r="H17" s="10">
        <v>0.96</v>
      </c>
      <c r="I17" s="8">
        <v>27490898</v>
      </c>
      <c r="J17" s="8">
        <v>35496002</v>
      </c>
      <c r="K17" s="8">
        <v>7</v>
      </c>
      <c r="L17" s="8">
        <v>5</v>
      </c>
    </row>
    <row r="18" spans="1:12" x14ac:dyDescent="0.25">
      <c r="A18" s="13">
        <v>16</v>
      </c>
      <c r="B18" s="12" t="s">
        <v>112</v>
      </c>
      <c r="C18" s="13">
        <v>11724228</v>
      </c>
      <c r="D18" s="13">
        <v>12173720</v>
      </c>
      <c r="E18" s="10">
        <v>3.8</v>
      </c>
      <c r="F18" s="14">
        <v>1.43</v>
      </c>
      <c r="G18" s="14">
        <v>2.0499999999999998</v>
      </c>
      <c r="H18" s="10">
        <v>0.62</v>
      </c>
      <c r="I18" s="13">
        <v>23922901</v>
      </c>
      <c r="J18" s="13">
        <v>25364543</v>
      </c>
      <c r="K18" s="13">
        <v>31</v>
      </c>
      <c r="L18" s="13">
        <v>32</v>
      </c>
    </row>
    <row r="19" spans="1:12" x14ac:dyDescent="0.25">
      <c r="A19" s="8">
        <v>17</v>
      </c>
      <c r="B19" s="7" t="s">
        <v>113</v>
      </c>
      <c r="C19" s="8">
        <v>14811942</v>
      </c>
      <c r="D19" s="8">
        <v>10001924</v>
      </c>
      <c r="E19" s="9">
        <v>-32.5</v>
      </c>
      <c r="F19" s="11">
        <v>1.8</v>
      </c>
      <c r="G19" s="11">
        <v>1.68</v>
      </c>
      <c r="H19" s="9">
        <v>-0.12</v>
      </c>
      <c r="I19" s="8">
        <v>11006418</v>
      </c>
      <c r="J19" s="8">
        <v>6816317</v>
      </c>
      <c r="K19" s="8">
        <v>19</v>
      </c>
      <c r="L19" s="8">
        <v>18</v>
      </c>
    </row>
    <row r="20" spans="1:12" x14ac:dyDescent="0.25">
      <c r="A20" s="13">
        <v>18</v>
      </c>
      <c r="B20" s="12" t="s">
        <v>114</v>
      </c>
      <c r="C20" s="13">
        <v>7969384</v>
      </c>
      <c r="D20" s="13">
        <v>9692822</v>
      </c>
      <c r="E20" s="10">
        <v>21.6</v>
      </c>
      <c r="F20" s="14">
        <v>0.97</v>
      </c>
      <c r="G20" s="14">
        <v>1.63</v>
      </c>
      <c r="H20" s="10">
        <v>0.66</v>
      </c>
      <c r="I20" s="13">
        <v>25264517</v>
      </c>
      <c r="J20" s="13">
        <v>29833420</v>
      </c>
      <c r="K20" s="13">
        <v>14</v>
      </c>
      <c r="L20" s="13">
        <v>10</v>
      </c>
    </row>
    <row r="21" spans="1:12" x14ac:dyDescent="0.25">
      <c r="A21" s="8">
        <v>19</v>
      </c>
      <c r="B21" s="7" t="s">
        <v>115</v>
      </c>
      <c r="C21" s="8">
        <v>11706425</v>
      </c>
      <c r="D21" s="8">
        <v>9506153</v>
      </c>
      <c r="E21" s="9">
        <v>-18.8</v>
      </c>
      <c r="F21" s="11">
        <v>1.42</v>
      </c>
      <c r="G21" s="11">
        <v>1.6</v>
      </c>
      <c r="H21" s="10">
        <v>0.18</v>
      </c>
      <c r="I21" s="8">
        <v>24506009</v>
      </c>
      <c r="J21" s="8">
        <v>20360500</v>
      </c>
      <c r="K21" s="8">
        <v>14</v>
      </c>
      <c r="L21" s="8">
        <v>7</v>
      </c>
    </row>
    <row r="22" spans="1:12" x14ac:dyDescent="0.25">
      <c r="A22" s="13">
        <v>20</v>
      </c>
      <c r="B22" s="12" t="s">
        <v>116</v>
      </c>
      <c r="C22" s="13">
        <v>7848413</v>
      </c>
      <c r="D22" s="13">
        <v>7904874</v>
      </c>
      <c r="E22" s="10">
        <v>0.7</v>
      </c>
      <c r="F22" s="14">
        <v>0.95</v>
      </c>
      <c r="G22" s="14">
        <v>1.33</v>
      </c>
      <c r="H22" s="10">
        <v>0.38</v>
      </c>
      <c r="I22" s="13">
        <v>9991218</v>
      </c>
      <c r="J22" s="13">
        <v>10057087</v>
      </c>
      <c r="K22" s="13">
        <v>51</v>
      </c>
      <c r="L22" s="13">
        <v>52</v>
      </c>
    </row>
    <row r="23" spans="1:12" x14ac:dyDescent="0.25">
      <c r="A23" s="8">
        <v>21</v>
      </c>
      <c r="B23" s="7" t="s">
        <v>117</v>
      </c>
      <c r="C23" s="8">
        <v>9632463</v>
      </c>
      <c r="D23" s="8">
        <v>7177713</v>
      </c>
      <c r="E23" s="9">
        <v>-25.5</v>
      </c>
      <c r="F23" s="11">
        <v>1.17</v>
      </c>
      <c r="G23" s="11">
        <v>1.21</v>
      </c>
      <c r="H23" s="10">
        <v>0.04</v>
      </c>
      <c r="I23" s="8">
        <v>35835393</v>
      </c>
      <c r="J23" s="8">
        <v>21408072</v>
      </c>
      <c r="K23" s="8">
        <v>11</v>
      </c>
      <c r="L23" s="8">
        <v>12</v>
      </c>
    </row>
    <row r="24" spans="1:12" x14ac:dyDescent="0.25">
      <c r="A24" s="13">
        <v>22</v>
      </c>
      <c r="B24" s="12" t="s">
        <v>118</v>
      </c>
      <c r="C24" s="13">
        <v>4216291</v>
      </c>
      <c r="D24" s="13">
        <v>7116715</v>
      </c>
      <c r="E24" s="10">
        <v>68.8</v>
      </c>
      <c r="F24" s="14">
        <v>0.51</v>
      </c>
      <c r="G24" s="14">
        <v>1.2</v>
      </c>
      <c r="H24" s="10">
        <v>0.69</v>
      </c>
      <c r="I24" s="13">
        <v>8004422</v>
      </c>
      <c r="J24" s="13">
        <v>16521547</v>
      </c>
      <c r="K24" s="13">
        <v>6</v>
      </c>
      <c r="L24" s="13">
        <v>4</v>
      </c>
    </row>
    <row r="25" spans="1:12" x14ac:dyDescent="0.25">
      <c r="A25" s="8">
        <v>23</v>
      </c>
      <c r="B25" s="7" t="s">
        <v>119</v>
      </c>
      <c r="C25" s="8">
        <v>5204495</v>
      </c>
      <c r="D25" s="8">
        <v>7069848</v>
      </c>
      <c r="E25" s="10">
        <v>35.799999999999997</v>
      </c>
      <c r="F25" s="11">
        <v>0.63</v>
      </c>
      <c r="G25" s="11">
        <v>1.19</v>
      </c>
      <c r="H25" s="10">
        <v>0.56000000000000005</v>
      </c>
      <c r="I25" s="8">
        <v>6778430</v>
      </c>
      <c r="J25" s="8">
        <v>10088860</v>
      </c>
      <c r="K25" s="8">
        <v>11</v>
      </c>
      <c r="L25" s="8">
        <v>5</v>
      </c>
    </row>
    <row r="26" spans="1:12" x14ac:dyDescent="0.25">
      <c r="A26" s="13">
        <v>24</v>
      </c>
      <c r="B26" s="12" t="s">
        <v>120</v>
      </c>
      <c r="C26" s="13">
        <v>3620971</v>
      </c>
      <c r="D26" s="13">
        <v>6528313</v>
      </c>
      <c r="E26" s="10">
        <v>80.3</v>
      </c>
      <c r="F26" s="14">
        <v>0.44</v>
      </c>
      <c r="G26" s="14">
        <v>1.1000000000000001</v>
      </c>
      <c r="H26" s="10">
        <v>0.66</v>
      </c>
      <c r="I26" s="13">
        <v>6220045</v>
      </c>
      <c r="J26" s="13">
        <v>11274334</v>
      </c>
      <c r="K26" s="13">
        <v>37</v>
      </c>
      <c r="L26" s="13">
        <v>38</v>
      </c>
    </row>
    <row r="27" spans="1:12" x14ac:dyDescent="0.25">
      <c r="A27" s="8">
        <v>25</v>
      </c>
      <c r="B27" s="7" t="s">
        <v>121</v>
      </c>
      <c r="C27" s="8">
        <v>9099795</v>
      </c>
      <c r="D27" s="8">
        <v>6401829</v>
      </c>
      <c r="E27" s="9">
        <v>-29.6</v>
      </c>
      <c r="F27" s="11">
        <v>1.1100000000000001</v>
      </c>
      <c r="G27" s="11">
        <v>1.08</v>
      </c>
      <c r="H27" s="9">
        <v>-0.03</v>
      </c>
      <c r="I27" s="8">
        <v>10585974</v>
      </c>
      <c r="J27" s="8">
        <v>4651419</v>
      </c>
      <c r="K27" s="8">
        <v>17</v>
      </c>
      <c r="L27" s="8">
        <v>15</v>
      </c>
    </row>
  </sheetData>
  <mergeCells count="1"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J1"/>
    </sheetView>
  </sheetViews>
  <sheetFormatPr defaultRowHeight="15" x14ac:dyDescent="0.25"/>
  <cols>
    <col min="1" max="1" width="16.7109375" customWidth="1"/>
    <col min="2" max="3" width="15.7109375" customWidth="1"/>
    <col min="4" max="4" width="18.7109375" customWidth="1"/>
    <col min="5" max="6" width="17.7109375" customWidth="1"/>
    <col min="7" max="7" width="20.7109375" customWidth="1"/>
    <col min="8" max="9" width="21.7109375" customWidth="1"/>
    <col min="10" max="10" width="19.7109375" customWidth="1"/>
  </cols>
  <sheetData>
    <row r="1" spans="1:10" ht="20.100000000000001" customHeight="1" x14ac:dyDescent="0.25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9.950000000000003" customHeight="1" x14ac:dyDescent="0.25">
      <c r="A2" s="6" t="s">
        <v>56</v>
      </c>
      <c r="B2" s="6" t="s">
        <v>122</v>
      </c>
      <c r="C2" s="6" t="s">
        <v>123</v>
      </c>
      <c r="D2" s="6" t="s">
        <v>124</v>
      </c>
      <c r="E2" s="6" t="s">
        <v>125</v>
      </c>
      <c r="F2" s="6" t="s">
        <v>126</v>
      </c>
      <c r="G2" s="6" t="s">
        <v>127</v>
      </c>
      <c r="H2" s="6" t="s">
        <v>128</v>
      </c>
      <c r="I2" s="6" t="s">
        <v>129</v>
      </c>
      <c r="J2" s="6" t="s">
        <v>130</v>
      </c>
    </row>
    <row r="3" spans="1:10" x14ac:dyDescent="0.25">
      <c r="A3" s="7" t="s">
        <v>57</v>
      </c>
      <c r="B3" s="8">
        <v>49392565</v>
      </c>
      <c r="C3" s="8">
        <v>21387307</v>
      </c>
      <c r="D3" s="9">
        <v>-56.7</v>
      </c>
      <c r="E3" s="8">
        <v>140857878</v>
      </c>
      <c r="F3" s="8">
        <v>119073057</v>
      </c>
      <c r="G3" s="9">
        <v>-15.5</v>
      </c>
      <c r="H3" s="11">
        <v>35.07</v>
      </c>
      <c r="I3" s="11">
        <v>17.96</v>
      </c>
      <c r="J3" s="9">
        <v>-17.11</v>
      </c>
    </row>
    <row r="4" spans="1:10" x14ac:dyDescent="0.25">
      <c r="A4" s="12" t="s">
        <v>58</v>
      </c>
      <c r="B4" s="13">
        <v>59523906</v>
      </c>
      <c r="C4" s="13">
        <v>26945089</v>
      </c>
      <c r="D4" s="9">
        <v>-54.7</v>
      </c>
      <c r="E4" s="13">
        <v>159082566</v>
      </c>
      <c r="F4" s="13">
        <v>122457067</v>
      </c>
      <c r="G4" s="9">
        <v>-23</v>
      </c>
      <c r="H4" s="14">
        <v>37.42</v>
      </c>
      <c r="I4" s="14">
        <v>22</v>
      </c>
      <c r="J4" s="9">
        <v>-15.42</v>
      </c>
    </row>
    <row r="5" spans="1:10" x14ac:dyDescent="0.25">
      <c r="A5" s="7" t="s">
        <v>59</v>
      </c>
      <c r="B5" s="8">
        <v>71716294</v>
      </c>
      <c r="C5" s="8">
        <v>28861807</v>
      </c>
      <c r="D5" s="9">
        <v>-59.8</v>
      </c>
      <c r="E5" s="8">
        <v>171765775</v>
      </c>
      <c r="F5" s="8">
        <v>139100860</v>
      </c>
      <c r="G5" s="9">
        <v>-19</v>
      </c>
      <c r="H5" s="11">
        <v>41.75</v>
      </c>
      <c r="I5" s="11">
        <v>20.75</v>
      </c>
      <c r="J5" s="9">
        <v>-21</v>
      </c>
    </row>
    <row r="6" spans="1:10" x14ac:dyDescent="0.25">
      <c r="A6" s="12" t="s">
        <v>60</v>
      </c>
      <c r="B6" s="13">
        <v>70304743</v>
      </c>
      <c r="C6" s="13">
        <v>47691681</v>
      </c>
      <c r="D6" s="9">
        <v>-32.200000000000003</v>
      </c>
      <c r="E6" s="13">
        <v>176527546</v>
      </c>
      <c r="F6" s="13">
        <v>160218276</v>
      </c>
      <c r="G6" s="9">
        <v>-9.1999999999999993</v>
      </c>
      <c r="H6" s="14">
        <v>39.83</v>
      </c>
      <c r="I6" s="14">
        <v>29.77</v>
      </c>
      <c r="J6" s="9">
        <v>-10.06</v>
      </c>
    </row>
    <row r="7" spans="1:10" x14ac:dyDescent="0.25">
      <c r="A7" s="7" t="s">
        <v>61</v>
      </c>
      <c r="B7" s="8">
        <v>71219632</v>
      </c>
      <c r="C7" s="8">
        <v>49530279</v>
      </c>
      <c r="D7" s="9">
        <v>-30.5</v>
      </c>
      <c r="E7" s="8">
        <v>174015532</v>
      </c>
      <c r="F7" s="8">
        <v>162843511</v>
      </c>
      <c r="G7" s="9">
        <v>-6.4</v>
      </c>
      <c r="H7" s="11">
        <v>40.93</v>
      </c>
      <c r="I7" s="11">
        <v>30.42</v>
      </c>
      <c r="J7" s="9">
        <v>-10.51</v>
      </c>
    </row>
    <row r="8" spans="1:10" x14ac:dyDescent="0.25">
      <c r="A8" s="12" t="s">
        <v>62</v>
      </c>
      <c r="B8" s="13">
        <v>322157140</v>
      </c>
      <c r="C8" s="13">
        <v>174416163</v>
      </c>
      <c r="D8" s="9">
        <v>-45.9</v>
      </c>
      <c r="E8" s="13">
        <v>822249297</v>
      </c>
      <c r="F8" s="13">
        <v>703692771</v>
      </c>
      <c r="G8" s="9">
        <v>-14.4</v>
      </c>
      <c r="H8" s="14">
        <v>39.18</v>
      </c>
      <c r="I8" s="14">
        <v>24.79</v>
      </c>
      <c r="J8" s="9">
        <v>-14.39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defaultRowHeight="15" x14ac:dyDescent="0.25"/>
  <cols>
    <col min="1" max="1" width="29.7109375" customWidth="1"/>
    <col min="2" max="2" width="14.7109375" customWidth="1"/>
    <col min="3" max="3" width="15.7109375" customWidth="1"/>
    <col min="4" max="4" width="16.7109375" customWidth="1"/>
    <col min="5" max="5" width="14.7109375" customWidth="1"/>
    <col min="6" max="6" width="15.7109375" customWidth="1"/>
    <col min="7" max="7" width="16.7109375" customWidth="1"/>
    <col min="8" max="9" width="17.7109375" customWidth="1"/>
    <col min="10" max="10" width="14.7109375" customWidth="1"/>
  </cols>
  <sheetData>
    <row r="1" spans="1:10" ht="20.100000000000001" customHeight="1" x14ac:dyDescent="0.25">
      <c r="A1" s="27" t="s">
        <v>18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9.950000000000003" customHeight="1" x14ac:dyDescent="0.25">
      <c r="A2" s="6" t="s">
        <v>31</v>
      </c>
      <c r="B2" s="6" t="s">
        <v>131</v>
      </c>
      <c r="C2" s="6" t="s">
        <v>132</v>
      </c>
      <c r="D2" s="6" t="s">
        <v>133</v>
      </c>
      <c r="E2" s="6" t="s">
        <v>134</v>
      </c>
      <c r="F2" s="6" t="s">
        <v>135</v>
      </c>
      <c r="G2" s="6" t="s">
        <v>136</v>
      </c>
      <c r="H2" s="6" t="s">
        <v>137</v>
      </c>
      <c r="I2" s="6" t="s">
        <v>138</v>
      </c>
      <c r="J2" s="6" t="s">
        <v>139</v>
      </c>
    </row>
    <row r="3" spans="1:10" x14ac:dyDescent="0.25">
      <c r="A3" s="7" t="s">
        <v>50</v>
      </c>
      <c r="B3" s="8">
        <v>539476441</v>
      </c>
      <c r="C3" s="8">
        <v>1440710735</v>
      </c>
      <c r="D3" s="11">
        <v>37.450000000000003</v>
      </c>
      <c r="E3" s="8">
        <v>453832619</v>
      </c>
      <c r="F3" s="8">
        <v>1212564869</v>
      </c>
      <c r="G3" s="11">
        <v>37.43</v>
      </c>
      <c r="H3" s="9">
        <v>-15.9</v>
      </c>
      <c r="I3" s="9">
        <v>-15.8</v>
      </c>
      <c r="J3" s="9">
        <v>-0.02</v>
      </c>
    </row>
    <row r="4" spans="1:10" x14ac:dyDescent="0.25">
      <c r="A4" s="12" t="s">
        <v>51</v>
      </c>
      <c r="B4" s="13">
        <v>111831134</v>
      </c>
      <c r="C4" s="13">
        <v>286846231</v>
      </c>
      <c r="D4" s="14">
        <v>38.99</v>
      </c>
      <c r="E4" s="13">
        <v>78552941</v>
      </c>
      <c r="F4" s="13">
        <v>263473457</v>
      </c>
      <c r="G4" s="14">
        <v>29.81</v>
      </c>
      <c r="H4" s="9">
        <v>-29.8</v>
      </c>
      <c r="I4" s="9">
        <v>-8.1</v>
      </c>
      <c r="J4" s="9">
        <v>-9.18</v>
      </c>
    </row>
    <row r="5" spans="1:10" x14ac:dyDescent="0.25">
      <c r="A5" s="7" t="s">
        <v>52</v>
      </c>
      <c r="B5" s="8">
        <v>651307575</v>
      </c>
      <c r="C5" s="8">
        <v>1727556966</v>
      </c>
      <c r="D5" s="11">
        <v>37.700000000000003</v>
      </c>
      <c r="E5" s="8">
        <v>532385560</v>
      </c>
      <c r="F5" s="8">
        <v>1476038326</v>
      </c>
      <c r="G5" s="11">
        <v>36.07</v>
      </c>
      <c r="H5" s="9">
        <v>-18.3</v>
      </c>
      <c r="I5" s="9">
        <v>-14.6</v>
      </c>
      <c r="J5" s="9">
        <v>-1.63</v>
      </c>
    </row>
    <row r="6" spans="1:10" x14ac:dyDescent="0.25">
      <c r="A6" s="12" t="s">
        <v>53</v>
      </c>
      <c r="B6" s="13">
        <v>148851896</v>
      </c>
      <c r="C6" s="13">
        <v>5524096130</v>
      </c>
      <c r="D6" s="14">
        <v>2.69</v>
      </c>
      <c r="E6" s="13">
        <v>154426241</v>
      </c>
      <c r="F6" s="13">
        <v>5254672163</v>
      </c>
      <c r="G6" s="14">
        <v>2.94</v>
      </c>
      <c r="H6" s="10">
        <v>3.7</v>
      </c>
      <c r="I6" s="9">
        <v>-4.9000000000000004</v>
      </c>
      <c r="J6" s="10">
        <v>0.25</v>
      </c>
    </row>
    <row r="7" spans="1:10" x14ac:dyDescent="0.25">
      <c r="A7" s="7" t="s">
        <v>54</v>
      </c>
      <c r="B7" s="8">
        <v>22089826</v>
      </c>
      <c r="C7" s="8">
        <v>160373471</v>
      </c>
      <c r="D7" s="11">
        <v>13.77</v>
      </c>
      <c r="E7" s="8">
        <v>16880970</v>
      </c>
      <c r="F7" s="8">
        <v>160204927</v>
      </c>
      <c r="G7" s="11">
        <v>10.54</v>
      </c>
      <c r="H7" s="9">
        <v>-23.6</v>
      </c>
      <c r="I7" s="9">
        <v>-0.1</v>
      </c>
      <c r="J7" s="9">
        <v>-3.23</v>
      </c>
    </row>
    <row r="8" spans="1:10" x14ac:dyDescent="0.25">
      <c r="A8" s="12" t="s">
        <v>55</v>
      </c>
      <c r="B8" s="13">
        <v>822249297</v>
      </c>
      <c r="C8" s="13">
        <v>7412027942</v>
      </c>
      <c r="D8" s="14">
        <v>11.09</v>
      </c>
      <c r="E8" s="13">
        <v>703692771</v>
      </c>
      <c r="F8" s="13">
        <v>6890915416</v>
      </c>
      <c r="G8" s="14">
        <v>10.210000000000001</v>
      </c>
      <c r="H8" s="9">
        <v>-14.4</v>
      </c>
      <c r="I8" s="9">
        <v>-7</v>
      </c>
      <c r="J8" s="9">
        <v>-0.88</v>
      </c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defaultRowHeight="15" x14ac:dyDescent="0.25"/>
  <cols>
    <col min="1" max="1" width="29.7109375" customWidth="1"/>
    <col min="2" max="2" width="5.7109375" customWidth="1"/>
    <col min="3" max="4" width="12.7109375" customWidth="1"/>
    <col min="5" max="5" width="11.7109375" customWidth="1"/>
    <col min="6" max="7" width="15.7109375" customWidth="1"/>
    <col min="8" max="8" width="14.7109375" customWidth="1"/>
    <col min="9" max="10" width="17.7109375" customWidth="1"/>
  </cols>
  <sheetData>
    <row r="1" spans="1:10" ht="20.100000000000001" customHeight="1" x14ac:dyDescent="0.25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9.950000000000003" customHeight="1" x14ac:dyDescent="0.25">
      <c r="A2" s="6" t="s">
        <v>31</v>
      </c>
      <c r="B2" s="6" t="s">
        <v>140</v>
      </c>
      <c r="C2" s="6" t="s">
        <v>141</v>
      </c>
      <c r="D2" s="6" t="s">
        <v>63</v>
      </c>
      <c r="E2" s="6" t="s">
        <v>142</v>
      </c>
      <c r="F2" s="6" t="s">
        <v>32</v>
      </c>
      <c r="G2" s="6" t="s">
        <v>38</v>
      </c>
      <c r="H2" s="6" t="s">
        <v>93</v>
      </c>
      <c r="I2" s="6" t="s">
        <v>94</v>
      </c>
      <c r="J2" s="6" t="s">
        <v>95</v>
      </c>
    </row>
    <row r="3" spans="1:10" x14ac:dyDescent="0.25">
      <c r="A3" s="7" t="s">
        <v>54</v>
      </c>
      <c r="B3" s="7" t="s">
        <v>143</v>
      </c>
      <c r="C3" s="8">
        <v>1</v>
      </c>
      <c r="D3" s="8">
        <v>1</v>
      </c>
      <c r="E3" s="14">
        <v>0</v>
      </c>
      <c r="F3" s="8">
        <v>49023439</v>
      </c>
      <c r="G3" s="8">
        <v>46125833</v>
      </c>
      <c r="H3" s="9">
        <v>-5.9</v>
      </c>
      <c r="I3" s="11">
        <v>30.57</v>
      </c>
      <c r="J3" s="11">
        <v>28.79</v>
      </c>
    </row>
    <row r="4" spans="1:10" x14ac:dyDescent="0.25">
      <c r="A4" s="12" t="s">
        <v>54</v>
      </c>
      <c r="B4" s="12" t="s">
        <v>144</v>
      </c>
      <c r="C4" s="13">
        <v>3</v>
      </c>
      <c r="D4" s="13">
        <v>2</v>
      </c>
      <c r="E4" s="10">
        <v>1</v>
      </c>
      <c r="F4" s="13">
        <v>20610181</v>
      </c>
      <c r="G4" s="13">
        <v>19566832</v>
      </c>
      <c r="H4" s="9">
        <v>-5.0999999999999996</v>
      </c>
      <c r="I4" s="14">
        <v>12.85</v>
      </c>
      <c r="J4" s="14">
        <v>12.21</v>
      </c>
    </row>
    <row r="5" spans="1:10" x14ac:dyDescent="0.25">
      <c r="A5" s="7" t="s">
        <v>54</v>
      </c>
      <c r="B5" s="7" t="s">
        <v>145</v>
      </c>
      <c r="C5" s="8">
        <v>5</v>
      </c>
      <c r="D5" s="8">
        <v>3</v>
      </c>
      <c r="E5" s="10">
        <v>2</v>
      </c>
      <c r="F5" s="8">
        <v>15029945</v>
      </c>
      <c r="G5" s="8">
        <v>19201643</v>
      </c>
      <c r="H5" s="10">
        <v>27.8</v>
      </c>
      <c r="I5" s="11">
        <v>9.3699999999999992</v>
      </c>
      <c r="J5" s="11">
        <v>11.99</v>
      </c>
    </row>
    <row r="6" spans="1:10" x14ac:dyDescent="0.25">
      <c r="A6" s="12" t="s">
        <v>54</v>
      </c>
      <c r="B6" s="12" t="s">
        <v>146</v>
      </c>
      <c r="C6" s="13">
        <v>4</v>
      </c>
      <c r="D6" s="13">
        <v>4</v>
      </c>
      <c r="E6" s="14">
        <v>0</v>
      </c>
      <c r="F6" s="13">
        <v>20134214</v>
      </c>
      <c r="G6" s="13">
        <v>18513052</v>
      </c>
      <c r="H6" s="9">
        <v>-8.1</v>
      </c>
      <c r="I6" s="14">
        <v>12.55</v>
      </c>
      <c r="J6" s="14">
        <v>11.56</v>
      </c>
    </row>
    <row r="7" spans="1:10" x14ac:dyDescent="0.25">
      <c r="A7" s="7" t="s">
        <v>54</v>
      </c>
      <c r="B7" s="7" t="s">
        <v>147</v>
      </c>
      <c r="C7" s="8">
        <v>2</v>
      </c>
      <c r="D7" s="8">
        <v>5</v>
      </c>
      <c r="E7" s="9">
        <v>-3</v>
      </c>
      <c r="F7" s="8">
        <v>22089826</v>
      </c>
      <c r="G7" s="8">
        <v>16880970</v>
      </c>
      <c r="H7" s="9">
        <v>-23.6</v>
      </c>
      <c r="I7" s="11">
        <v>13.77</v>
      </c>
      <c r="J7" s="11">
        <v>10.54</v>
      </c>
    </row>
    <row r="8" spans="1:10" x14ac:dyDescent="0.25">
      <c r="A8" s="12" t="s">
        <v>54</v>
      </c>
      <c r="B8" s="12" t="s">
        <v>148</v>
      </c>
      <c r="C8" s="13">
        <v>8</v>
      </c>
      <c r="D8" s="13">
        <v>6</v>
      </c>
      <c r="E8" s="10">
        <v>2</v>
      </c>
      <c r="F8" s="13">
        <v>7628822</v>
      </c>
      <c r="G8" s="13">
        <v>11074509</v>
      </c>
      <c r="H8" s="10">
        <v>45.2</v>
      </c>
      <c r="I8" s="14">
        <v>4.76</v>
      </c>
      <c r="J8" s="14">
        <v>6.91</v>
      </c>
    </row>
    <row r="9" spans="1:10" x14ac:dyDescent="0.25">
      <c r="A9" s="7" t="s">
        <v>54</v>
      </c>
      <c r="B9" s="7" t="s">
        <v>149</v>
      </c>
      <c r="C9" s="8">
        <v>7</v>
      </c>
      <c r="D9" s="8">
        <v>7</v>
      </c>
      <c r="E9" s="14">
        <v>0</v>
      </c>
      <c r="F9" s="8">
        <v>8630432</v>
      </c>
      <c r="G9" s="8">
        <v>10188303</v>
      </c>
      <c r="H9" s="10">
        <v>18.100000000000001</v>
      </c>
      <c r="I9" s="11">
        <v>5.38</v>
      </c>
      <c r="J9" s="11">
        <v>6.36</v>
      </c>
    </row>
    <row r="10" spans="1:10" x14ac:dyDescent="0.25">
      <c r="A10" s="12" t="s">
        <v>54</v>
      </c>
      <c r="B10" s="12" t="s">
        <v>150</v>
      </c>
      <c r="C10" s="13">
        <v>6</v>
      </c>
      <c r="D10" s="13">
        <v>8</v>
      </c>
      <c r="E10" s="9">
        <v>-2</v>
      </c>
      <c r="F10" s="13">
        <v>9036356</v>
      </c>
      <c r="G10" s="13">
        <v>7312990</v>
      </c>
      <c r="H10" s="9">
        <v>-19.100000000000001</v>
      </c>
      <c r="I10" s="14">
        <v>5.63</v>
      </c>
      <c r="J10" s="14">
        <v>4.5599999999999996</v>
      </c>
    </row>
    <row r="11" spans="1:10" x14ac:dyDescent="0.25">
      <c r="A11" s="7" t="s">
        <v>55</v>
      </c>
      <c r="B11" s="7" t="s">
        <v>149</v>
      </c>
      <c r="C11" s="8">
        <v>2</v>
      </c>
      <c r="D11" s="8">
        <v>1</v>
      </c>
      <c r="E11" s="10">
        <v>1</v>
      </c>
      <c r="F11" s="8">
        <v>1286645189</v>
      </c>
      <c r="G11" s="8">
        <v>1458548224</v>
      </c>
      <c r="H11" s="10">
        <v>13.4</v>
      </c>
      <c r="I11" s="11">
        <v>17.36</v>
      </c>
      <c r="J11" s="11">
        <v>21.17</v>
      </c>
    </row>
    <row r="12" spans="1:10" x14ac:dyDescent="0.25">
      <c r="A12" s="12" t="s">
        <v>55</v>
      </c>
      <c r="B12" s="12" t="s">
        <v>151</v>
      </c>
      <c r="C12" s="13">
        <v>1</v>
      </c>
      <c r="D12" s="13">
        <v>2</v>
      </c>
      <c r="E12" s="9">
        <v>-1</v>
      </c>
      <c r="F12" s="13">
        <v>1448646342</v>
      </c>
      <c r="G12" s="13">
        <v>1128060444</v>
      </c>
      <c r="H12" s="9">
        <v>-22.1</v>
      </c>
      <c r="I12" s="14">
        <v>19.54</v>
      </c>
      <c r="J12" s="14">
        <v>16.37</v>
      </c>
    </row>
    <row r="13" spans="1:10" x14ac:dyDescent="0.25">
      <c r="A13" s="7" t="s">
        <v>55</v>
      </c>
      <c r="B13" s="7" t="s">
        <v>152</v>
      </c>
      <c r="C13" s="8">
        <v>3</v>
      </c>
      <c r="D13" s="8">
        <v>3</v>
      </c>
      <c r="E13" s="14">
        <v>0</v>
      </c>
      <c r="F13" s="8">
        <v>1167887896</v>
      </c>
      <c r="G13" s="8">
        <v>1097510529</v>
      </c>
      <c r="H13" s="9">
        <v>-6</v>
      </c>
      <c r="I13" s="11">
        <v>15.76</v>
      </c>
      <c r="J13" s="11">
        <v>15.93</v>
      </c>
    </row>
    <row r="14" spans="1:10" x14ac:dyDescent="0.25">
      <c r="A14" s="12" t="s">
        <v>55</v>
      </c>
      <c r="B14" s="12" t="s">
        <v>147</v>
      </c>
      <c r="C14" s="13">
        <v>4</v>
      </c>
      <c r="D14" s="13">
        <v>4</v>
      </c>
      <c r="E14" s="14">
        <v>0</v>
      </c>
      <c r="F14" s="13">
        <v>822249297</v>
      </c>
      <c r="G14" s="13">
        <v>703692771</v>
      </c>
      <c r="H14" s="9">
        <v>-14.4</v>
      </c>
      <c r="I14" s="14">
        <v>11.09</v>
      </c>
      <c r="J14" s="14">
        <v>10.210000000000001</v>
      </c>
    </row>
    <row r="15" spans="1:10" x14ac:dyDescent="0.25">
      <c r="A15" s="7" t="s">
        <v>55</v>
      </c>
      <c r="B15" s="7" t="s">
        <v>144</v>
      </c>
      <c r="C15" s="8">
        <v>5</v>
      </c>
      <c r="D15" s="8">
        <v>5</v>
      </c>
      <c r="E15" s="14">
        <v>0</v>
      </c>
      <c r="F15" s="8">
        <v>616476192</v>
      </c>
      <c r="G15" s="8">
        <v>614647853</v>
      </c>
      <c r="H15" s="9">
        <v>-0.3</v>
      </c>
      <c r="I15" s="11">
        <v>8.32</v>
      </c>
      <c r="J15" s="11">
        <v>8.92</v>
      </c>
    </row>
    <row r="16" spans="1:10" x14ac:dyDescent="0.25">
      <c r="A16" s="12" t="s">
        <v>55</v>
      </c>
      <c r="B16" s="12" t="s">
        <v>153</v>
      </c>
      <c r="C16" s="13">
        <v>6</v>
      </c>
      <c r="D16" s="13">
        <v>6</v>
      </c>
      <c r="E16" s="14">
        <v>0</v>
      </c>
      <c r="F16" s="13">
        <v>598073039</v>
      </c>
      <c r="G16" s="13">
        <v>530478570</v>
      </c>
      <c r="H16" s="9">
        <v>-11.3</v>
      </c>
      <c r="I16" s="14">
        <v>8.07</v>
      </c>
      <c r="J16" s="14">
        <v>7.7</v>
      </c>
    </row>
    <row r="17" spans="1:10" x14ac:dyDescent="0.25">
      <c r="A17" s="7" t="s">
        <v>55</v>
      </c>
      <c r="B17" s="7" t="s">
        <v>154</v>
      </c>
      <c r="C17" s="8">
        <v>7</v>
      </c>
      <c r="D17" s="8">
        <v>7</v>
      </c>
      <c r="E17" s="14">
        <v>0</v>
      </c>
      <c r="F17" s="8">
        <v>469728475</v>
      </c>
      <c r="G17" s="8">
        <v>451564703</v>
      </c>
      <c r="H17" s="9">
        <v>-3.9</v>
      </c>
      <c r="I17" s="11">
        <v>6.34</v>
      </c>
      <c r="J17" s="11">
        <v>6.55</v>
      </c>
    </row>
    <row r="18" spans="1:10" x14ac:dyDescent="0.25">
      <c r="A18" s="12" t="s">
        <v>55</v>
      </c>
      <c r="B18" s="12" t="s">
        <v>155</v>
      </c>
      <c r="C18" s="13">
        <v>8</v>
      </c>
      <c r="D18" s="13">
        <v>8</v>
      </c>
      <c r="E18" s="14">
        <v>0</v>
      </c>
      <c r="F18" s="13">
        <v>391903707</v>
      </c>
      <c r="G18" s="13">
        <v>304887939</v>
      </c>
      <c r="H18" s="9">
        <v>-22.2</v>
      </c>
      <c r="I18" s="14">
        <v>5.29</v>
      </c>
      <c r="J18" s="14">
        <v>4.42</v>
      </c>
    </row>
    <row r="19" spans="1:10" x14ac:dyDescent="0.25">
      <c r="A19" s="7" t="s">
        <v>50</v>
      </c>
      <c r="B19" s="7" t="s">
        <v>147</v>
      </c>
      <c r="C19" s="8">
        <v>2</v>
      </c>
      <c r="D19" s="8">
        <v>1</v>
      </c>
      <c r="E19" s="10">
        <v>1</v>
      </c>
      <c r="F19" s="8">
        <v>539476441</v>
      </c>
      <c r="G19" s="8">
        <v>453832619</v>
      </c>
      <c r="H19" s="9">
        <v>-15.9</v>
      </c>
      <c r="I19" s="11">
        <v>37.450000000000003</v>
      </c>
      <c r="J19" s="11">
        <v>37.43</v>
      </c>
    </row>
    <row r="20" spans="1:10" x14ac:dyDescent="0.25">
      <c r="A20" s="12" t="s">
        <v>50</v>
      </c>
      <c r="B20" s="12" t="s">
        <v>152</v>
      </c>
      <c r="C20" s="13">
        <v>1</v>
      </c>
      <c r="D20" s="13">
        <v>2</v>
      </c>
      <c r="E20" s="9">
        <v>-1</v>
      </c>
      <c r="F20" s="13">
        <v>545271156</v>
      </c>
      <c r="G20" s="13">
        <v>384674857</v>
      </c>
      <c r="H20" s="9">
        <v>-29.5</v>
      </c>
      <c r="I20" s="14">
        <v>37.85</v>
      </c>
      <c r="J20" s="14">
        <v>31.72</v>
      </c>
    </row>
    <row r="21" spans="1:10" x14ac:dyDescent="0.25">
      <c r="A21" s="7" t="s">
        <v>50</v>
      </c>
      <c r="B21" s="7" t="s">
        <v>144</v>
      </c>
      <c r="C21" s="8">
        <v>3</v>
      </c>
      <c r="D21" s="8">
        <v>3</v>
      </c>
      <c r="E21" s="14">
        <v>0</v>
      </c>
      <c r="F21" s="8">
        <v>108503830</v>
      </c>
      <c r="G21" s="8">
        <v>112099906</v>
      </c>
      <c r="H21" s="10">
        <v>3.3</v>
      </c>
      <c r="I21" s="11">
        <v>7.53</v>
      </c>
      <c r="J21" s="11">
        <v>9.24</v>
      </c>
    </row>
    <row r="22" spans="1:10" x14ac:dyDescent="0.25">
      <c r="A22" s="12" t="s">
        <v>50</v>
      </c>
      <c r="B22" s="12" t="s">
        <v>150</v>
      </c>
      <c r="C22" s="13">
        <v>5</v>
      </c>
      <c r="D22" s="13">
        <v>4</v>
      </c>
      <c r="E22" s="10">
        <v>1</v>
      </c>
      <c r="F22" s="13">
        <v>65607587</v>
      </c>
      <c r="G22" s="13">
        <v>100813103</v>
      </c>
      <c r="H22" s="10">
        <v>53.7</v>
      </c>
      <c r="I22" s="14">
        <v>4.55</v>
      </c>
      <c r="J22" s="14">
        <v>8.31</v>
      </c>
    </row>
    <row r="23" spans="1:10" x14ac:dyDescent="0.25">
      <c r="A23" s="7" t="s">
        <v>50</v>
      </c>
      <c r="B23" s="7" t="s">
        <v>149</v>
      </c>
      <c r="C23" s="8">
        <v>4</v>
      </c>
      <c r="D23" s="8">
        <v>5</v>
      </c>
      <c r="E23" s="9">
        <v>-1</v>
      </c>
      <c r="F23" s="8">
        <v>85806013</v>
      </c>
      <c r="G23" s="8">
        <v>62199029</v>
      </c>
      <c r="H23" s="9">
        <v>-27.5</v>
      </c>
      <c r="I23" s="11">
        <v>5.96</v>
      </c>
      <c r="J23" s="11">
        <v>5.13</v>
      </c>
    </row>
    <row r="24" spans="1:10" x14ac:dyDescent="0.25">
      <c r="A24" s="12" t="s">
        <v>50</v>
      </c>
      <c r="B24" s="12" t="s">
        <v>156</v>
      </c>
      <c r="C24" s="13">
        <v>6</v>
      </c>
      <c r="D24" s="13">
        <v>6</v>
      </c>
      <c r="E24" s="14">
        <v>0</v>
      </c>
      <c r="F24" s="13">
        <v>32207941</v>
      </c>
      <c r="G24" s="13">
        <v>33582989</v>
      </c>
      <c r="H24" s="10">
        <v>4.3</v>
      </c>
      <c r="I24" s="14">
        <v>2.2400000000000002</v>
      </c>
      <c r="J24" s="14">
        <v>2.77</v>
      </c>
    </row>
    <row r="25" spans="1:10" x14ac:dyDescent="0.25">
      <c r="A25" s="7" t="s">
        <v>50</v>
      </c>
      <c r="B25" s="7" t="s">
        <v>145</v>
      </c>
      <c r="C25" s="8">
        <v>7</v>
      </c>
      <c r="D25" s="8">
        <v>7</v>
      </c>
      <c r="E25" s="14">
        <v>0</v>
      </c>
      <c r="F25" s="8">
        <v>25263112</v>
      </c>
      <c r="G25" s="8">
        <v>27550456</v>
      </c>
      <c r="H25" s="10">
        <v>9.1</v>
      </c>
      <c r="I25" s="11">
        <v>1.75</v>
      </c>
      <c r="J25" s="11">
        <v>2.27</v>
      </c>
    </row>
    <row r="26" spans="1:10" x14ac:dyDescent="0.25">
      <c r="A26" s="12" t="s">
        <v>50</v>
      </c>
      <c r="B26" s="12" t="s">
        <v>157</v>
      </c>
      <c r="C26" s="13">
        <v>8</v>
      </c>
      <c r="D26" s="13">
        <v>8</v>
      </c>
      <c r="E26" s="14">
        <v>0</v>
      </c>
      <c r="F26" s="13">
        <v>24695496</v>
      </c>
      <c r="G26" s="13">
        <v>24769609</v>
      </c>
      <c r="H26" s="10">
        <v>0.3</v>
      </c>
      <c r="I26" s="14">
        <v>1.71</v>
      </c>
      <c r="J26" s="14">
        <v>2.04</v>
      </c>
    </row>
    <row r="27" spans="1:10" x14ac:dyDescent="0.25">
      <c r="A27" s="7" t="s">
        <v>52</v>
      </c>
      <c r="B27" s="7" t="s">
        <v>147</v>
      </c>
      <c r="C27" s="8">
        <v>1</v>
      </c>
      <c r="D27" s="8">
        <v>1</v>
      </c>
      <c r="E27" s="14">
        <v>0</v>
      </c>
      <c r="F27" s="8">
        <v>651307575</v>
      </c>
      <c r="G27" s="8">
        <v>532385560</v>
      </c>
      <c r="H27" s="9">
        <v>-18.3</v>
      </c>
      <c r="I27" s="11">
        <v>37.700000000000003</v>
      </c>
      <c r="J27" s="11">
        <v>36.07</v>
      </c>
    </row>
    <row r="28" spans="1:10" x14ac:dyDescent="0.25">
      <c r="A28" s="12" t="s">
        <v>52</v>
      </c>
      <c r="B28" s="12" t="s">
        <v>152</v>
      </c>
      <c r="C28" s="13">
        <v>2</v>
      </c>
      <c r="D28" s="13">
        <v>2</v>
      </c>
      <c r="E28" s="14">
        <v>0</v>
      </c>
      <c r="F28" s="13">
        <v>594368069</v>
      </c>
      <c r="G28" s="13">
        <v>439178554</v>
      </c>
      <c r="H28" s="9">
        <v>-26.1</v>
      </c>
      <c r="I28" s="14">
        <v>34.409999999999997</v>
      </c>
      <c r="J28" s="14">
        <v>29.75</v>
      </c>
    </row>
    <row r="29" spans="1:10" x14ac:dyDescent="0.25">
      <c r="A29" s="7" t="s">
        <v>52</v>
      </c>
      <c r="B29" s="7" t="s">
        <v>144</v>
      </c>
      <c r="C29" s="8">
        <v>3</v>
      </c>
      <c r="D29" s="8">
        <v>3</v>
      </c>
      <c r="E29" s="14">
        <v>0</v>
      </c>
      <c r="F29" s="8">
        <v>191582676</v>
      </c>
      <c r="G29" s="8">
        <v>202213732</v>
      </c>
      <c r="H29" s="10">
        <v>5.5</v>
      </c>
      <c r="I29" s="11">
        <v>11.09</v>
      </c>
      <c r="J29" s="11">
        <v>13.7</v>
      </c>
    </row>
    <row r="30" spans="1:10" x14ac:dyDescent="0.25">
      <c r="A30" s="12" t="s">
        <v>52</v>
      </c>
      <c r="B30" s="12" t="s">
        <v>150</v>
      </c>
      <c r="C30" s="13">
        <v>5</v>
      </c>
      <c r="D30" s="13">
        <v>4</v>
      </c>
      <c r="E30" s="10">
        <v>1</v>
      </c>
      <c r="F30" s="13">
        <v>65743066</v>
      </c>
      <c r="G30" s="13">
        <v>100839887</v>
      </c>
      <c r="H30" s="10">
        <v>53.4</v>
      </c>
      <c r="I30" s="14">
        <v>3.81</v>
      </c>
      <c r="J30" s="14">
        <v>6.83</v>
      </c>
    </row>
    <row r="31" spans="1:10" x14ac:dyDescent="0.25">
      <c r="A31" s="7" t="s">
        <v>52</v>
      </c>
      <c r="B31" s="7" t="s">
        <v>149</v>
      </c>
      <c r="C31" s="8">
        <v>4</v>
      </c>
      <c r="D31" s="8">
        <v>5</v>
      </c>
      <c r="E31" s="9">
        <v>-1</v>
      </c>
      <c r="F31" s="8">
        <v>120764620</v>
      </c>
      <c r="G31" s="8">
        <v>96844319</v>
      </c>
      <c r="H31" s="9">
        <v>-19.8</v>
      </c>
      <c r="I31" s="11">
        <v>6.99</v>
      </c>
      <c r="J31" s="11">
        <v>6.56</v>
      </c>
    </row>
    <row r="32" spans="1:10" x14ac:dyDescent="0.25">
      <c r="A32" s="12" t="s">
        <v>52</v>
      </c>
      <c r="B32" s="12" t="s">
        <v>156</v>
      </c>
      <c r="C32" s="13">
        <v>6</v>
      </c>
      <c r="D32" s="13">
        <v>6</v>
      </c>
      <c r="E32" s="14">
        <v>0</v>
      </c>
      <c r="F32" s="13">
        <v>32223112</v>
      </c>
      <c r="G32" s="13">
        <v>33624033</v>
      </c>
      <c r="H32" s="10">
        <v>4.3</v>
      </c>
      <c r="I32" s="14">
        <v>1.87</v>
      </c>
      <c r="J32" s="14">
        <v>2.2799999999999998</v>
      </c>
    </row>
    <row r="33" spans="1:10" x14ac:dyDescent="0.25">
      <c r="A33" s="7" t="s">
        <v>52</v>
      </c>
      <c r="B33" s="7" t="s">
        <v>145</v>
      </c>
      <c r="C33" s="8">
        <v>7</v>
      </c>
      <c r="D33" s="8">
        <v>7</v>
      </c>
      <c r="E33" s="14">
        <v>0</v>
      </c>
      <c r="F33" s="8">
        <v>25402611</v>
      </c>
      <c r="G33" s="8">
        <v>27572536</v>
      </c>
      <c r="H33" s="10">
        <v>8.5</v>
      </c>
      <c r="I33" s="11">
        <v>1.47</v>
      </c>
      <c r="J33" s="11">
        <v>1.87</v>
      </c>
    </row>
    <row r="34" spans="1:10" x14ac:dyDescent="0.25">
      <c r="A34" s="12" t="s">
        <v>52</v>
      </c>
      <c r="B34" s="12" t="s">
        <v>157</v>
      </c>
      <c r="C34" s="13">
        <v>8</v>
      </c>
      <c r="D34" s="13">
        <v>8</v>
      </c>
      <c r="E34" s="14">
        <v>0</v>
      </c>
      <c r="F34" s="13">
        <v>24808030</v>
      </c>
      <c r="G34" s="13">
        <v>24897634</v>
      </c>
      <c r="H34" s="10">
        <v>0.4</v>
      </c>
      <c r="I34" s="14">
        <v>1.44</v>
      </c>
      <c r="J34" s="14">
        <v>1.69</v>
      </c>
    </row>
    <row r="35" spans="1:10" x14ac:dyDescent="0.25">
      <c r="A35" s="7" t="s">
        <v>51</v>
      </c>
      <c r="B35" s="7" t="s">
        <v>144</v>
      </c>
      <c r="C35" s="8">
        <v>2</v>
      </c>
      <c r="D35" s="8">
        <v>1</v>
      </c>
      <c r="E35" s="10">
        <v>1</v>
      </c>
      <c r="F35" s="8">
        <v>83078846</v>
      </c>
      <c r="G35" s="8">
        <v>90113826</v>
      </c>
      <c r="H35" s="10">
        <v>8.5</v>
      </c>
      <c r="I35" s="11">
        <v>28.96</v>
      </c>
      <c r="J35" s="11">
        <v>34.200000000000003</v>
      </c>
    </row>
    <row r="36" spans="1:10" x14ac:dyDescent="0.25">
      <c r="A36" s="12" t="s">
        <v>51</v>
      </c>
      <c r="B36" s="12" t="s">
        <v>147</v>
      </c>
      <c r="C36" s="13">
        <v>1</v>
      </c>
      <c r="D36" s="13">
        <v>2</v>
      </c>
      <c r="E36" s="9">
        <v>-1</v>
      </c>
      <c r="F36" s="13">
        <v>111831134</v>
      </c>
      <c r="G36" s="13">
        <v>78552941</v>
      </c>
      <c r="H36" s="9">
        <v>-29.8</v>
      </c>
      <c r="I36" s="14">
        <v>38.99</v>
      </c>
      <c r="J36" s="14">
        <v>29.81</v>
      </c>
    </row>
    <row r="37" spans="1:10" x14ac:dyDescent="0.25">
      <c r="A37" s="7" t="s">
        <v>51</v>
      </c>
      <c r="B37" s="7" t="s">
        <v>152</v>
      </c>
      <c r="C37" s="8">
        <v>3</v>
      </c>
      <c r="D37" s="8">
        <v>3</v>
      </c>
      <c r="E37" s="14">
        <v>0</v>
      </c>
      <c r="F37" s="8">
        <v>49096913</v>
      </c>
      <c r="G37" s="8">
        <v>54503697</v>
      </c>
      <c r="H37" s="10">
        <v>11</v>
      </c>
      <c r="I37" s="11">
        <v>17.12</v>
      </c>
      <c r="J37" s="11">
        <v>20.69</v>
      </c>
    </row>
    <row r="38" spans="1:10" x14ac:dyDescent="0.25">
      <c r="A38" s="12" t="s">
        <v>51</v>
      </c>
      <c r="B38" s="12" t="s">
        <v>149</v>
      </c>
      <c r="C38" s="13">
        <v>4</v>
      </c>
      <c r="D38" s="13">
        <v>4</v>
      </c>
      <c r="E38" s="14">
        <v>0</v>
      </c>
      <c r="F38" s="13">
        <v>34958607</v>
      </c>
      <c r="G38" s="13">
        <v>34645290</v>
      </c>
      <c r="H38" s="9">
        <v>-0.9</v>
      </c>
      <c r="I38" s="14">
        <v>12.19</v>
      </c>
      <c r="J38" s="14">
        <v>13.15</v>
      </c>
    </row>
    <row r="39" spans="1:10" x14ac:dyDescent="0.25">
      <c r="A39" s="7" t="s">
        <v>51</v>
      </c>
      <c r="B39" s="7" t="s">
        <v>154</v>
      </c>
      <c r="C39" s="8">
        <v>5</v>
      </c>
      <c r="D39" s="8">
        <v>5</v>
      </c>
      <c r="E39" s="14">
        <v>0</v>
      </c>
      <c r="F39" s="8">
        <v>3789110</v>
      </c>
      <c r="G39" s="8">
        <v>2662141</v>
      </c>
      <c r="H39" s="9">
        <v>-29.7</v>
      </c>
      <c r="I39" s="11">
        <v>1.32</v>
      </c>
      <c r="J39" s="11">
        <v>1.01</v>
      </c>
    </row>
    <row r="40" spans="1:10" x14ac:dyDescent="0.25">
      <c r="A40" s="12" t="s">
        <v>51</v>
      </c>
      <c r="B40" s="12" t="s">
        <v>155</v>
      </c>
      <c r="C40" s="13">
        <v>6</v>
      </c>
      <c r="D40" s="13">
        <v>6</v>
      </c>
      <c r="E40" s="14">
        <v>0</v>
      </c>
      <c r="F40" s="13">
        <v>2427028</v>
      </c>
      <c r="G40" s="13">
        <v>1622423</v>
      </c>
      <c r="H40" s="9">
        <v>-33.200000000000003</v>
      </c>
      <c r="I40" s="14">
        <v>0.85</v>
      </c>
      <c r="J40" s="14">
        <v>0.62</v>
      </c>
    </row>
    <row r="41" spans="1:10" x14ac:dyDescent="0.25">
      <c r="A41" s="7" t="s">
        <v>51</v>
      </c>
      <c r="B41" s="7" t="s">
        <v>158</v>
      </c>
      <c r="C41" s="8">
        <v>7</v>
      </c>
      <c r="D41" s="8">
        <v>7</v>
      </c>
      <c r="E41" s="14">
        <v>0</v>
      </c>
      <c r="F41" s="8">
        <v>431453</v>
      </c>
      <c r="G41" s="8">
        <v>395142</v>
      </c>
      <c r="H41" s="9">
        <v>-8.4</v>
      </c>
      <c r="I41" s="11">
        <v>0.15</v>
      </c>
      <c r="J41" s="11">
        <v>0.15</v>
      </c>
    </row>
    <row r="42" spans="1:10" x14ac:dyDescent="0.25">
      <c r="A42" s="12" t="s">
        <v>51</v>
      </c>
      <c r="B42" s="12" t="s">
        <v>153</v>
      </c>
      <c r="C42" s="13">
        <v>8</v>
      </c>
      <c r="D42" s="13">
        <v>8</v>
      </c>
      <c r="E42" s="14">
        <v>0</v>
      </c>
      <c r="F42" s="13">
        <v>215742</v>
      </c>
      <c r="G42" s="13">
        <v>278960</v>
      </c>
      <c r="H42" s="10">
        <v>29.3</v>
      </c>
      <c r="I42" s="14">
        <v>0.08</v>
      </c>
      <c r="J42" s="14">
        <v>0.11</v>
      </c>
    </row>
    <row r="43" spans="1:10" x14ac:dyDescent="0.25">
      <c r="A43" s="7" t="s">
        <v>53</v>
      </c>
      <c r="B43" s="7" t="s">
        <v>149</v>
      </c>
      <c r="C43" s="8">
        <v>2</v>
      </c>
      <c r="D43" s="8">
        <v>1</v>
      </c>
      <c r="E43" s="10">
        <v>1</v>
      </c>
      <c r="F43" s="8">
        <v>1157248762</v>
      </c>
      <c r="G43" s="8">
        <v>1351515602</v>
      </c>
      <c r="H43" s="10">
        <v>16.8</v>
      </c>
      <c r="I43" s="11">
        <v>20.95</v>
      </c>
      <c r="J43" s="11">
        <v>25.72</v>
      </c>
    </row>
    <row r="44" spans="1:10" x14ac:dyDescent="0.25">
      <c r="A44" s="12" t="s">
        <v>53</v>
      </c>
      <c r="B44" s="12" t="s">
        <v>151</v>
      </c>
      <c r="C44" s="13">
        <v>1</v>
      </c>
      <c r="D44" s="13">
        <v>2</v>
      </c>
      <c r="E44" s="9">
        <v>-1</v>
      </c>
      <c r="F44" s="13">
        <v>1447320913</v>
      </c>
      <c r="G44" s="13">
        <v>1126782979</v>
      </c>
      <c r="H44" s="9">
        <v>-22.1</v>
      </c>
      <c r="I44" s="14">
        <v>26.2</v>
      </c>
      <c r="J44" s="14">
        <v>21.44</v>
      </c>
    </row>
    <row r="45" spans="1:10" x14ac:dyDescent="0.25">
      <c r="A45" s="7" t="s">
        <v>53</v>
      </c>
      <c r="B45" s="7" t="s">
        <v>152</v>
      </c>
      <c r="C45" s="8">
        <v>4</v>
      </c>
      <c r="D45" s="8">
        <v>3</v>
      </c>
      <c r="E45" s="10">
        <v>1</v>
      </c>
      <c r="F45" s="8">
        <v>571229986</v>
      </c>
      <c r="G45" s="8">
        <v>655116684</v>
      </c>
      <c r="H45" s="10">
        <v>14.7</v>
      </c>
      <c r="I45" s="11">
        <v>10.34</v>
      </c>
      <c r="J45" s="11">
        <v>12.47</v>
      </c>
    </row>
    <row r="46" spans="1:10" x14ac:dyDescent="0.25">
      <c r="A46" s="12" t="s">
        <v>53</v>
      </c>
      <c r="B46" s="12" t="s">
        <v>153</v>
      </c>
      <c r="C46" s="13">
        <v>3</v>
      </c>
      <c r="D46" s="13">
        <v>4</v>
      </c>
      <c r="E46" s="9">
        <v>-1</v>
      </c>
      <c r="F46" s="13">
        <v>597491310</v>
      </c>
      <c r="G46" s="13">
        <v>530110654</v>
      </c>
      <c r="H46" s="9">
        <v>-11.3</v>
      </c>
      <c r="I46" s="14">
        <v>10.82</v>
      </c>
      <c r="J46" s="14">
        <v>10.09</v>
      </c>
    </row>
    <row r="47" spans="1:10" x14ac:dyDescent="0.25">
      <c r="A47" s="7" t="s">
        <v>53</v>
      </c>
      <c r="B47" s="7" t="s">
        <v>154</v>
      </c>
      <c r="C47" s="8">
        <v>5</v>
      </c>
      <c r="D47" s="8">
        <v>5</v>
      </c>
      <c r="E47" s="14">
        <v>0</v>
      </c>
      <c r="F47" s="8">
        <v>459180957</v>
      </c>
      <c r="G47" s="8">
        <v>443998188</v>
      </c>
      <c r="H47" s="9">
        <v>-3.3</v>
      </c>
      <c r="I47" s="11">
        <v>8.31</v>
      </c>
      <c r="J47" s="11">
        <v>8.4499999999999993</v>
      </c>
    </row>
    <row r="48" spans="1:10" x14ac:dyDescent="0.25">
      <c r="A48" s="12" t="s">
        <v>53</v>
      </c>
      <c r="B48" s="12" t="s">
        <v>144</v>
      </c>
      <c r="C48" s="13">
        <v>6</v>
      </c>
      <c r="D48" s="13">
        <v>6</v>
      </c>
      <c r="E48" s="14">
        <v>0</v>
      </c>
      <c r="F48" s="13">
        <v>404283335</v>
      </c>
      <c r="G48" s="13">
        <v>392867289</v>
      </c>
      <c r="H48" s="9">
        <v>-2.8</v>
      </c>
      <c r="I48" s="14">
        <v>7.32</v>
      </c>
      <c r="J48" s="14">
        <v>7.48</v>
      </c>
    </row>
    <row r="49" spans="1:10" x14ac:dyDescent="0.25">
      <c r="A49" s="7" t="s">
        <v>53</v>
      </c>
      <c r="B49" s="7" t="s">
        <v>155</v>
      </c>
      <c r="C49" s="8">
        <v>7</v>
      </c>
      <c r="D49" s="8">
        <v>7</v>
      </c>
      <c r="E49" s="14">
        <v>0</v>
      </c>
      <c r="F49" s="8">
        <v>388664380</v>
      </c>
      <c r="G49" s="8">
        <v>301864881</v>
      </c>
      <c r="H49" s="9">
        <v>-22.3</v>
      </c>
      <c r="I49" s="11">
        <v>7.04</v>
      </c>
      <c r="J49" s="11">
        <v>5.74</v>
      </c>
    </row>
    <row r="50" spans="1:10" x14ac:dyDescent="0.25">
      <c r="A50" s="12" t="s">
        <v>53</v>
      </c>
      <c r="B50" s="12" t="s">
        <v>159</v>
      </c>
      <c r="C50" s="13">
        <v>8</v>
      </c>
      <c r="D50" s="13">
        <v>8</v>
      </c>
      <c r="E50" s="14">
        <v>0</v>
      </c>
      <c r="F50" s="13">
        <v>325546164</v>
      </c>
      <c r="G50" s="13">
        <v>276670035</v>
      </c>
      <c r="H50" s="9">
        <v>-15</v>
      </c>
      <c r="I50" s="14">
        <v>5.89</v>
      </c>
      <c r="J50" s="14">
        <v>5.27</v>
      </c>
    </row>
    <row r="51" spans="1:10" x14ac:dyDescent="0.25">
      <c r="A51" s="7" t="s">
        <v>53</v>
      </c>
      <c r="B51" s="7" t="s">
        <v>147</v>
      </c>
      <c r="C51" s="8">
        <v>9</v>
      </c>
      <c r="D51" s="8">
        <v>9</v>
      </c>
      <c r="E51" s="14">
        <v>0</v>
      </c>
      <c r="F51" s="8">
        <v>148851896</v>
      </c>
      <c r="G51" s="8">
        <v>154426241</v>
      </c>
      <c r="H51" s="10">
        <v>3.7</v>
      </c>
      <c r="I51" s="11">
        <v>2.69</v>
      </c>
      <c r="J51" s="11">
        <v>2.94</v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E1"/>
    </sheetView>
  </sheetViews>
  <sheetFormatPr defaultRowHeight="15" x14ac:dyDescent="0.25"/>
  <cols>
    <col min="1" max="1" width="29.7109375" customWidth="1"/>
    <col min="2" max="2" width="26.7109375" customWidth="1"/>
    <col min="3" max="4" width="15.7109375" customWidth="1"/>
    <col min="5" max="5" width="14.7109375" customWidth="1"/>
  </cols>
  <sheetData>
    <row r="1" spans="1:5" ht="20.100000000000001" customHeight="1" x14ac:dyDescent="0.25">
      <c r="A1" s="27" t="s">
        <v>22</v>
      </c>
      <c r="B1" s="27"/>
      <c r="C1" s="27"/>
      <c r="D1" s="27"/>
      <c r="E1" s="27"/>
    </row>
    <row r="2" spans="1:5" ht="39.950000000000003" customHeight="1" x14ac:dyDescent="0.25">
      <c r="A2" s="6" t="s">
        <v>31</v>
      </c>
      <c r="B2" s="6" t="s">
        <v>92</v>
      </c>
      <c r="C2" s="6" t="s">
        <v>38</v>
      </c>
      <c r="D2" s="6" t="s">
        <v>32</v>
      </c>
      <c r="E2" s="6" t="s">
        <v>93</v>
      </c>
    </row>
    <row r="3" spans="1:5" x14ac:dyDescent="0.25">
      <c r="A3" s="7" t="s">
        <v>54</v>
      </c>
      <c r="B3" s="7" t="s">
        <v>102</v>
      </c>
      <c r="C3" s="8">
        <v>7830906</v>
      </c>
      <c r="D3" s="8">
        <v>9913341</v>
      </c>
      <c r="E3" s="9">
        <v>-21</v>
      </c>
    </row>
    <row r="4" spans="1:5" x14ac:dyDescent="0.25">
      <c r="A4" s="12" t="s">
        <v>54</v>
      </c>
      <c r="B4" s="12" t="s">
        <v>107</v>
      </c>
      <c r="C4" s="13">
        <v>6338519</v>
      </c>
      <c r="D4" s="13">
        <v>11084217</v>
      </c>
      <c r="E4" s="9">
        <v>-42.8</v>
      </c>
    </row>
    <row r="5" spans="1:5" x14ac:dyDescent="0.25">
      <c r="A5" s="7" t="s">
        <v>54</v>
      </c>
      <c r="B5" s="7" t="s">
        <v>97</v>
      </c>
      <c r="C5" s="8">
        <v>665919</v>
      </c>
      <c r="D5" s="8">
        <v>103117</v>
      </c>
      <c r="E5" s="10">
        <v>545.79999999999995</v>
      </c>
    </row>
    <row r="6" spans="1:5" x14ac:dyDescent="0.25">
      <c r="A6" s="12" t="s">
        <v>54</v>
      </c>
      <c r="B6" s="12" t="s">
        <v>109</v>
      </c>
      <c r="C6" s="13">
        <v>421923</v>
      </c>
      <c r="D6" s="13">
        <v>0</v>
      </c>
      <c r="E6" s="12"/>
    </row>
    <row r="7" spans="1:5" x14ac:dyDescent="0.25">
      <c r="A7" s="7" t="s">
        <v>54</v>
      </c>
      <c r="B7" s="7" t="s">
        <v>110</v>
      </c>
      <c r="C7" s="8">
        <v>375884</v>
      </c>
      <c r="D7" s="8">
        <v>395917</v>
      </c>
      <c r="E7" s="9">
        <v>-5.0999999999999996</v>
      </c>
    </row>
    <row r="8" spans="1:5" x14ac:dyDescent="0.25">
      <c r="A8" s="12" t="s">
        <v>54</v>
      </c>
      <c r="B8" s="12" t="s">
        <v>160</v>
      </c>
      <c r="C8" s="13">
        <v>274620</v>
      </c>
      <c r="D8" s="13">
        <v>130410</v>
      </c>
      <c r="E8" s="10">
        <v>110.6</v>
      </c>
    </row>
    <row r="9" spans="1:5" x14ac:dyDescent="0.25">
      <c r="A9" s="7" t="s">
        <v>54</v>
      </c>
      <c r="B9" s="7" t="s">
        <v>98</v>
      </c>
      <c r="C9" s="8">
        <v>149332</v>
      </c>
      <c r="D9" s="8">
        <v>0</v>
      </c>
      <c r="E9" s="7"/>
    </row>
    <row r="10" spans="1:5" x14ac:dyDescent="0.25">
      <c r="A10" s="12" t="s">
        <v>54</v>
      </c>
      <c r="B10" s="12" t="s">
        <v>161</v>
      </c>
      <c r="C10" s="13">
        <v>124897</v>
      </c>
      <c r="D10" s="13">
        <v>0</v>
      </c>
      <c r="E10" s="12"/>
    </row>
    <row r="11" spans="1:5" x14ac:dyDescent="0.25">
      <c r="A11" s="7" t="s">
        <v>54</v>
      </c>
      <c r="B11" s="7" t="s">
        <v>108</v>
      </c>
      <c r="C11" s="8">
        <v>102902</v>
      </c>
      <c r="D11" s="8">
        <v>0</v>
      </c>
      <c r="E11" s="7"/>
    </row>
    <row r="12" spans="1:5" x14ac:dyDescent="0.25">
      <c r="A12" s="12" t="s">
        <v>54</v>
      </c>
      <c r="B12" s="12" t="s">
        <v>120</v>
      </c>
      <c r="C12" s="13">
        <v>86602</v>
      </c>
      <c r="D12" s="13">
        <v>86803</v>
      </c>
      <c r="E12" s="9">
        <v>-0.2</v>
      </c>
    </row>
    <row r="13" spans="1:5" x14ac:dyDescent="0.25">
      <c r="A13" s="7" t="s">
        <v>54</v>
      </c>
      <c r="B13" s="7" t="s">
        <v>121</v>
      </c>
      <c r="C13" s="8">
        <v>85001</v>
      </c>
      <c r="D13" s="8">
        <v>0</v>
      </c>
      <c r="E13" s="7"/>
    </row>
    <row r="14" spans="1:5" x14ac:dyDescent="0.25">
      <c r="A14" s="12" t="s">
        <v>54</v>
      </c>
      <c r="B14" s="12" t="s">
        <v>114</v>
      </c>
      <c r="C14" s="13">
        <v>74828</v>
      </c>
      <c r="D14" s="13">
        <v>0</v>
      </c>
      <c r="E14" s="12"/>
    </row>
    <row r="15" spans="1:5" x14ac:dyDescent="0.25">
      <c r="A15" s="7" t="s">
        <v>52</v>
      </c>
      <c r="B15" s="7" t="s">
        <v>97</v>
      </c>
      <c r="C15" s="8">
        <v>167472012</v>
      </c>
      <c r="D15" s="8">
        <v>310556524</v>
      </c>
      <c r="E15" s="9">
        <v>-46.1</v>
      </c>
    </row>
    <row r="16" spans="1:5" x14ac:dyDescent="0.25">
      <c r="A16" s="12" t="s">
        <v>52</v>
      </c>
      <c r="B16" s="12" t="s">
        <v>98</v>
      </c>
      <c r="C16" s="13">
        <v>45611970</v>
      </c>
      <c r="D16" s="13">
        <v>30007569</v>
      </c>
      <c r="E16" s="10">
        <v>52</v>
      </c>
    </row>
    <row r="17" spans="1:5" x14ac:dyDescent="0.25">
      <c r="A17" s="7" t="s">
        <v>52</v>
      </c>
      <c r="B17" s="7" t="s">
        <v>100</v>
      </c>
      <c r="C17" s="8">
        <v>35336062</v>
      </c>
      <c r="D17" s="8">
        <v>18452711</v>
      </c>
      <c r="E17" s="10">
        <v>91.5</v>
      </c>
    </row>
    <row r="18" spans="1:5" x14ac:dyDescent="0.25">
      <c r="A18" s="12" t="s">
        <v>52</v>
      </c>
      <c r="B18" s="12" t="s">
        <v>101</v>
      </c>
      <c r="C18" s="13">
        <v>23247555</v>
      </c>
      <c r="D18" s="13">
        <v>25064058</v>
      </c>
      <c r="E18" s="9">
        <v>-7.2</v>
      </c>
    </row>
    <row r="19" spans="1:5" x14ac:dyDescent="0.25">
      <c r="A19" s="7" t="s">
        <v>52</v>
      </c>
      <c r="B19" s="7" t="s">
        <v>103</v>
      </c>
      <c r="C19" s="8">
        <v>20274000</v>
      </c>
      <c r="D19" s="8">
        <v>10163683</v>
      </c>
      <c r="E19" s="10">
        <v>99.5</v>
      </c>
    </row>
    <row r="20" spans="1:5" x14ac:dyDescent="0.25">
      <c r="A20" s="12" t="s">
        <v>52</v>
      </c>
      <c r="B20" s="12" t="s">
        <v>105</v>
      </c>
      <c r="C20" s="13">
        <v>16030897</v>
      </c>
      <c r="D20" s="13">
        <v>19659558</v>
      </c>
      <c r="E20" s="9">
        <v>-18.5</v>
      </c>
    </row>
    <row r="21" spans="1:5" x14ac:dyDescent="0.25">
      <c r="A21" s="7" t="s">
        <v>52</v>
      </c>
      <c r="B21" s="7" t="s">
        <v>111</v>
      </c>
      <c r="C21" s="8">
        <v>13776506</v>
      </c>
      <c r="D21" s="8">
        <v>11160558</v>
      </c>
      <c r="E21" s="10">
        <v>23.4</v>
      </c>
    </row>
    <row r="22" spans="1:5" x14ac:dyDescent="0.25">
      <c r="A22" s="12" t="s">
        <v>52</v>
      </c>
      <c r="B22" s="12" t="s">
        <v>110</v>
      </c>
      <c r="C22" s="13">
        <v>13702001</v>
      </c>
      <c r="D22" s="13">
        <v>13621245</v>
      </c>
      <c r="E22" s="10">
        <v>0.6</v>
      </c>
    </row>
    <row r="23" spans="1:5" x14ac:dyDescent="0.25">
      <c r="A23" s="7" t="s">
        <v>52</v>
      </c>
      <c r="B23" s="7" t="s">
        <v>113</v>
      </c>
      <c r="C23" s="8">
        <v>9991895</v>
      </c>
      <c r="D23" s="8">
        <v>14547479</v>
      </c>
      <c r="E23" s="9">
        <v>-31.3</v>
      </c>
    </row>
    <row r="24" spans="1:5" x14ac:dyDescent="0.25">
      <c r="A24" s="12" t="s">
        <v>52</v>
      </c>
      <c r="B24" s="12" t="s">
        <v>107</v>
      </c>
      <c r="C24" s="13">
        <v>9829417</v>
      </c>
      <c r="D24" s="13">
        <v>0</v>
      </c>
      <c r="E24" s="12"/>
    </row>
    <row r="25" spans="1:5" x14ac:dyDescent="0.25">
      <c r="A25" s="7" t="s">
        <v>52</v>
      </c>
      <c r="B25" s="7" t="s">
        <v>106</v>
      </c>
      <c r="C25" s="8">
        <v>9670595</v>
      </c>
      <c r="D25" s="8">
        <v>0</v>
      </c>
      <c r="E25" s="7"/>
    </row>
    <row r="26" spans="1:5" x14ac:dyDescent="0.25">
      <c r="A26" s="12" t="s">
        <v>52</v>
      </c>
      <c r="B26" s="12" t="s">
        <v>114</v>
      </c>
      <c r="C26" s="13">
        <v>9461724</v>
      </c>
      <c r="D26" s="13">
        <v>0</v>
      </c>
      <c r="E26" s="12"/>
    </row>
    <row r="27" spans="1:5" x14ac:dyDescent="0.25">
      <c r="A27" s="7" t="s">
        <v>53</v>
      </c>
      <c r="B27" s="7" t="s">
        <v>99</v>
      </c>
      <c r="C27" s="8">
        <v>40926578</v>
      </c>
      <c r="D27" s="8">
        <v>43396705</v>
      </c>
      <c r="E27" s="9">
        <v>-5.7</v>
      </c>
    </row>
    <row r="28" spans="1:5" x14ac:dyDescent="0.25">
      <c r="A28" s="12" t="s">
        <v>53</v>
      </c>
      <c r="B28" s="12" t="s">
        <v>104</v>
      </c>
      <c r="C28" s="13">
        <v>15690001</v>
      </c>
      <c r="D28" s="13">
        <v>14578249</v>
      </c>
      <c r="E28" s="10">
        <v>7.6</v>
      </c>
    </row>
    <row r="29" spans="1:5" x14ac:dyDescent="0.25">
      <c r="A29" s="7" t="s">
        <v>53</v>
      </c>
      <c r="B29" s="7" t="s">
        <v>108</v>
      </c>
      <c r="C29" s="8">
        <v>12897277</v>
      </c>
      <c r="D29" s="8">
        <v>2846750</v>
      </c>
      <c r="E29" s="10">
        <v>353.1</v>
      </c>
    </row>
    <row r="30" spans="1:5" x14ac:dyDescent="0.25">
      <c r="A30" s="12" t="s">
        <v>53</v>
      </c>
      <c r="B30" s="12" t="s">
        <v>109</v>
      </c>
      <c r="C30" s="13">
        <v>10813779</v>
      </c>
      <c r="D30" s="13">
        <v>12310975</v>
      </c>
      <c r="E30" s="9">
        <v>-12.2</v>
      </c>
    </row>
    <row r="31" spans="1:5" x14ac:dyDescent="0.25">
      <c r="A31" s="7" t="s">
        <v>53</v>
      </c>
      <c r="B31" s="7" t="s">
        <v>112</v>
      </c>
      <c r="C31" s="8">
        <v>8599703</v>
      </c>
      <c r="D31" s="8">
        <v>9290868</v>
      </c>
      <c r="E31" s="9">
        <v>-7.4</v>
      </c>
    </row>
    <row r="32" spans="1:5" x14ac:dyDescent="0.25">
      <c r="A32" s="12" t="s">
        <v>53</v>
      </c>
      <c r="B32" s="12" t="s">
        <v>106</v>
      </c>
      <c r="C32" s="13">
        <v>8581197</v>
      </c>
      <c r="D32" s="13">
        <v>8869559</v>
      </c>
      <c r="E32" s="9">
        <v>-3.3</v>
      </c>
    </row>
    <row r="33" spans="1:5" x14ac:dyDescent="0.25">
      <c r="A33" s="7" t="s">
        <v>53</v>
      </c>
      <c r="B33" s="7" t="s">
        <v>98</v>
      </c>
      <c r="C33" s="8">
        <v>7807216</v>
      </c>
      <c r="D33" s="8">
        <v>8314529</v>
      </c>
      <c r="E33" s="9">
        <v>-6.1</v>
      </c>
    </row>
    <row r="34" spans="1:5" x14ac:dyDescent="0.25">
      <c r="A34" s="12" t="s">
        <v>53</v>
      </c>
      <c r="B34" s="12" t="s">
        <v>97</v>
      </c>
      <c r="C34" s="13">
        <v>6278232</v>
      </c>
      <c r="D34" s="13">
        <v>11497499</v>
      </c>
      <c r="E34" s="9">
        <v>-45.4</v>
      </c>
    </row>
    <row r="35" spans="1:5" x14ac:dyDescent="0.25">
      <c r="A35" s="7" t="s">
        <v>53</v>
      </c>
      <c r="B35" s="7" t="s">
        <v>102</v>
      </c>
      <c r="C35" s="8">
        <v>6110623</v>
      </c>
      <c r="D35" s="8">
        <v>2399703</v>
      </c>
      <c r="E35" s="10">
        <v>154.6</v>
      </c>
    </row>
    <row r="36" spans="1:5" x14ac:dyDescent="0.25">
      <c r="A36" s="12" t="s">
        <v>53</v>
      </c>
      <c r="B36" s="12" t="s">
        <v>116</v>
      </c>
      <c r="C36" s="13">
        <v>5926425</v>
      </c>
      <c r="D36" s="13">
        <v>6159594</v>
      </c>
      <c r="E36" s="9">
        <v>-3.8</v>
      </c>
    </row>
    <row r="37" spans="1:5" x14ac:dyDescent="0.25">
      <c r="A37" s="7" t="s">
        <v>53</v>
      </c>
      <c r="B37" s="7" t="s">
        <v>162</v>
      </c>
      <c r="C37" s="8">
        <v>3233801</v>
      </c>
      <c r="D37" s="8">
        <v>2362212</v>
      </c>
      <c r="E37" s="10">
        <v>36.9</v>
      </c>
    </row>
    <row r="38" spans="1:5" x14ac:dyDescent="0.25">
      <c r="A38" s="12" t="s">
        <v>53</v>
      </c>
      <c r="B38" s="12" t="s">
        <v>160</v>
      </c>
      <c r="C38" s="13">
        <v>2525494</v>
      </c>
      <c r="D38" s="13">
        <v>0</v>
      </c>
      <c r="E38" s="12"/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AB1"/>
    </sheetView>
  </sheetViews>
  <sheetFormatPr defaultRowHeight="15" x14ac:dyDescent="0.25"/>
  <cols>
    <col min="1" max="1" width="29.7109375" customWidth="1"/>
    <col min="2" max="2" width="15.7109375" customWidth="1"/>
    <col min="3" max="3" width="11.7109375" customWidth="1"/>
    <col min="4" max="4" width="12.7109375" customWidth="1"/>
    <col min="5" max="7" width="18.7109375" customWidth="1"/>
    <col min="8" max="8" width="17.7109375" customWidth="1"/>
    <col min="9" max="9" width="15.7109375" customWidth="1"/>
    <col min="10" max="10" width="11.7109375" customWidth="1"/>
    <col min="11" max="11" width="12.7109375" customWidth="1"/>
    <col min="12" max="14" width="18.7109375" customWidth="1"/>
    <col min="15" max="15" width="17.7109375" customWidth="1"/>
    <col min="16" max="16" width="15.7109375" customWidth="1"/>
    <col min="17" max="17" width="11.7109375" customWidth="1"/>
    <col min="18" max="18" width="12.7109375" customWidth="1"/>
    <col min="19" max="21" width="18.7109375" customWidth="1"/>
    <col min="22" max="22" width="17.7109375" customWidth="1"/>
    <col min="23" max="24" width="16.7109375" customWidth="1"/>
    <col min="25" max="28" width="17.7109375" customWidth="1"/>
  </cols>
  <sheetData>
    <row r="1" spans="1:28" ht="20.100000000000001" customHeight="1" x14ac:dyDescent="0.25">
      <c r="A1" s="27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ht="39.950000000000003" customHeight="1" x14ac:dyDescent="0.25">
      <c r="A2" s="6" t="s">
        <v>31</v>
      </c>
      <c r="B2" s="6" t="s">
        <v>163</v>
      </c>
      <c r="C2" s="6" t="s">
        <v>164</v>
      </c>
      <c r="D2" s="6" t="s">
        <v>165</v>
      </c>
      <c r="E2" s="6" t="s">
        <v>166</v>
      </c>
      <c r="F2" s="6" t="s">
        <v>167</v>
      </c>
      <c r="G2" s="6" t="s">
        <v>168</v>
      </c>
      <c r="H2" s="6" t="s">
        <v>169</v>
      </c>
      <c r="I2" s="6" t="s">
        <v>170</v>
      </c>
      <c r="J2" s="6" t="s">
        <v>171</v>
      </c>
      <c r="K2" s="6" t="s">
        <v>172</v>
      </c>
      <c r="L2" s="6" t="s">
        <v>173</v>
      </c>
      <c r="M2" s="6" t="s">
        <v>174</v>
      </c>
      <c r="N2" s="6" t="s">
        <v>175</v>
      </c>
      <c r="O2" s="6" t="s">
        <v>176</v>
      </c>
      <c r="P2" s="6" t="s">
        <v>177</v>
      </c>
      <c r="Q2" s="6" t="s">
        <v>178</v>
      </c>
      <c r="R2" s="6" t="s">
        <v>179</v>
      </c>
      <c r="S2" s="6" t="s">
        <v>180</v>
      </c>
      <c r="T2" s="6" t="s">
        <v>181</v>
      </c>
      <c r="U2" s="6" t="s">
        <v>182</v>
      </c>
      <c r="V2" s="6" t="s">
        <v>183</v>
      </c>
      <c r="W2" s="6" t="s">
        <v>184</v>
      </c>
      <c r="X2" s="6" t="s">
        <v>185</v>
      </c>
      <c r="Y2" s="6" t="s">
        <v>186</v>
      </c>
      <c r="Z2" s="6" t="s">
        <v>187</v>
      </c>
      <c r="AA2" s="6" t="s">
        <v>188</v>
      </c>
      <c r="AB2" s="6" t="s">
        <v>189</v>
      </c>
    </row>
    <row r="3" spans="1:28" x14ac:dyDescent="0.25">
      <c r="A3" s="7" t="s">
        <v>54</v>
      </c>
      <c r="B3" s="8">
        <v>42</v>
      </c>
      <c r="C3" s="15">
        <v>4082.1</v>
      </c>
      <c r="D3" s="16">
        <v>0.93130000000000002</v>
      </c>
      <c r="E3" s="11">
        <v>50.33</v>
      </c>
      <c r="F3" s="11">
        <v>93.03</v>
      </c>
      <c r="G3" s="11">
        <v>96.96</v>
      </c>
      <c r="H3" s="8" t="s">
        <v>102</v>
      </c>
      <c r="I3" s="8">
        <v>47</v>
      </c>
      <c r="J3" s="15">
        <v>4068.2</v>
      </c>
      <c r="K3" s="16">
        <v>0.93630000000000002</v>
      </c>
      <c r="L3" s="11">
        <v>46.89</v>
      </c>
      <c r="M3" s="11">
        <v>92.72</v>
      </c>
      <c r="N3" s="11">
        <v>96.12</v>
      </c>
      <c r="O3" s="8" t="s">
        <v>107</v>
      </c>
      <c r="P3" s="8">
        <v>39</v>
      </c>
      <c r="Q3" s="15">
        <v>3594</v>
      </c>
      <c r="R3" s="16">
        <v>0.90559999999999996</v>
      </c>
      <c r="S3" s="11">
        <v>46.39</v>
      </c>
      <c r="T3" s="11">
        <v>87.88</v>
      </c>
      <c r="U3" s="11">
        <v>92.61</v>
      </c>
      <c r="V3" s="8" t="s">
        <v>102</v>
      </c>
      <c r="W3" s="17">
        <v>-13.9</v>
      </c>
      <c r="X3" s="17">
        <v>-474.2</v>
      </c>
      <c r="Y3" s="18">
        <v>5.0000000000000001E-3</v>
      </c>
      <c r="Z3" s="19">
        <v>-3.0700000000000002E-2</v>
      </c>
      <c r="AA3" s="11">
        <v>5</v>
      </c>
      <c r="AB3" s="11">
        <v>-8</v>
      </c>
    </row>
    <row r="4" spans="1:28" x14ac:dyDescent="0.25">
      <c r="A4" s="12" t="s">
        <v>55</v>
      </c>
      <c r="B4" s="13">
        <v>159</v>
      </c>
      <c r="C4" s="20">
        <v>1862.9</v>
      </c>
      <c r="D4" s="21">
        <v>0.88780000000000003</v>
      </c>
      <c r="E4" s="14">
        <v>41.04</v>
      </c>
      <c r="F4" s="14">
        <v>54.55</v>
      </c>
      <c r="G4" s="14">
        <v>62.86</v>
      </c>
      <c r="H4" s="13" t="s">
        <v>97</v>
      </c>
      <c r="I4" s="13">
        <v>153</v>
      </c>
      <c r="J4" s="20">
        <v>1297.8</v>
      </c>
      <c r="K4" s="21">
        <v>0.85970000000000002</v>
      </c>
      <c r="L4" s="14">
        <v>33.51</v>
      </c>
      <c r="M4" s="14">
        <v>46.1</v>
      </c>
      <c r="N4" s="14">
        <v>53.31</v>
      </c>
      <c r="O4" s="13" t="s">
        <v>97</v>
      </c>
      <c r="P4" s="13">
        <v>146</v>
      </c>
      <c r="Q4" s="20">
        <v>839.5</v>
      </c>
      <c r="R4" s="21">
        <v>0.83660000000000001</v>
      </c>
      <c r="S4" s="14">
        <v>24.79</v>
      </c>
      <c r="T4" s="14">
        <v>38.76</v>
      </c>
      <c r="U4" s="14">
        <v>47.37</v>
      </c>
      <c r="V4" s="13" t="s">
        <v>97</v>
      </c>
      <c r="W4" s="17">
        <v>-565.1</v>
      </c>
      <c r="X4" s="17">
        <v>-458.3</v>
      </c>
      <c r="Y4" s="19">
        <v>-2.81E-2</v>
      </c>
      <c r="Z4" s="19">
        <v>-2.3099999999999999E-2</v>
      </c>
      <c r="AA4" s="14">
        <v>-6</v>
      </c>
      <c r="AB4" s="14">
        <v>-7</v>
      </c>
    </row>
    <row r="5" spans="1:28" x14ac:dyDescent="0.25">
      <c r="A5" s="7" t="s">
        <v>50</v>
      </c>
      <c r="B5" s="8">
        <v>131</v>
      </c>
      <c r="C5" s="15">
        <v>2694.8</v>
      </c>
      <c r="D5" s="16">
        <v>0.89549999999999996</v>
      </c>
      <c r="E5" s="11">
        <v>50.11</v>
      </c>
      <c r="F5" s="11">
        <v>65.39</v>
      </c>
      <c r="G5" s="11">
        <v>71.5</v>
      </c>
      <c r="H5" s="8" t="s">
        <v>97</v>
      </c>
      <c r="I5" s="8">
        <v>126</v>
      </c>
      <c r="J5" s="15">
        <v>1929.3</v>
      </c>
      <c r="K5" s="16">
        <v>0.85909999999999997</v>
      </c>
      <c r="L5" s="11">
        <v>42.07</v>
      </c>
      <c r="M5" s="11">
        <v>54.24</v>
      </c>
      <c r="N5" s="11">
        <v>61.09</v>
      </c>
      <c r="O5" s="8" t="s">
        <v>97</v>
      </c>
      <c r="P5" s="8">
        <v>121</v>
      </c>
      <c r="Q5" s="15">
        <v>1253.0999999999999</v>
      </c>
      <c r="R5" s="16">
        <v>0.83620000000000005</v>
      </c>
      <c r="S5" s="11">
        <v>31.72</v>
      </c>
      <c r="T5" s="11">
        <v>49.34</v>
      </c>
      <c r="U5" s="11">
        <v>56.8</v>
      </c>
      <c r="V5" s="8" t="s">
        <v>97</v>
      </c>
      <c r="W5" s="17">
        <v>-765.5</v>
      </c>
      <c r="X5" s="17">
        <v>-676.2</v>
      </c>
      <c r="Y5" s="19">
        <v>-3.6400000000000002E-2</v>
      </c>
      <c r="Z5" s="19">
        <v>-2.29E-2</v>
      </c>
      <c r="AA5" s="11">
        <v>-5</v>
      </c>
      <c r="AB5" s="11">
        <v>-5</v>
      </c>
    </row>
    <row r="6" spans="1:28" x14ac:dyDescent="0.25">
      <c r="A6" s="12" t="s">
        <v>51</v>
      </c>
      <c r="B6" s="13">
        <v>106</v>
      </c>
      <c r="C6" s="20">
        <v>2362.3000000000002</v>
      </c>
      <c r="D6" s="21">
        <v>0.90559999999999996</v>
      </c>
      <c r="E6" s="14">
        <v>45.68</v>
      </c>
      <c r="F6" s="14">
        <v>64.540000000000006</v>
      </c>
      <c r="G6" s="14">
        <v>75.599999999999994</v>
      </c>
      <c r="H6" s="13" t="s">
        <v>97</v>
      </c>
      <c r="I6" s="13">
        <v>105</v>
      </c>
      <c r="J6" s="20">
        <v>1877.3</v>
      </c>
      <c r="K6" s="21">
        <v>0.89529999999999998</v>
      </c>
      <c r="L6" s="14">
        <v>39.799999999999997</v>
      </c>
      <c r="M6" s="14">
        <v>57.87</v>
      </c>
      <c r="N6" s="14">
        <v>69.8</v>
      </c>
      <c r="O6" s="13" t="s">
        <v>97</v>
      </c>
      <c r="P6" s="13">
        <v>80</v>
      </c>
      <c r="Q6" s="20">
        <v>1313.8</v>
      </c>
      <c r="R6" s="21">
        <v>0.84009999999999996</v>
      </c>
      <c r="S6" s="14">
        <v>29.96</v>
      </c>
      <c r="T6" s="14">
        <v>52.69</v>
      </c>
      <c r="U6" s="14">
        <v>65.8</v>
      </c>
      <c r="V6" s="13" t="s">
        <v>97</v>
      </c>
      <c r="W6" s="17">
        <v>-485</v>
      </c>
      <c r="X6" s="17">
        <v>-563.5</v>
      </c>
      <c r="Y6" s="19">
        <v>-1.03E-2</v>
      </c>
      <c r="Z6" s="19">
        <v>-5.5199999999999999E-2</v>
      </c>
      <c r="AA6" s="14">
        <v>-1</v>
      </c>
      <c r="AB6" s="14">
        <v>-25</v>
      </c>
    </row>
    <row r="7" spans="1:28" x14ac:dyDescent="0.25">
      <c r="A7" s="7" t="s">
        <v>53</v>
      </c>
      <c r="B7" s="8">
        <v>105</v>
      </c>
      <c r="C7" s="15">
        <v>1059.3</v>
      </c>
      <c r="D7" s="16">
        <v>0.85750000000000004</v>
      </c>
      <c r="E7" s="11">
        <v>26.02</v>
      </c>
      <c r="F7" s="11">
        <v>44.91</v>
      </c>
      <c r="G7" s="11">
        <v>59.42</v>
      </c>
      <c r="H7" s="8" t="s">
        <v>99</v>
      </c>
      <c r="I7" s="8">
        <v>105</v>
      </c>
      <c r="J7" s="15">
        <v>1117.9000000000001</v>
      </c>
      <c r="K7" s="16">
        <v>0.86870000000000003</v>
      </c>
      <c r="L7" s="11">
        <v>27.35</v>
      </c>
      <c r="M7" s="11">
        <v>45.42</v>
      </c>
      <c r="N7" s="11">
        <v>58.05</v>
      </c>
      <c r="O7" s="8" t="s">
        <v>99</v>
      </c>
      <c r="P7" s="8">
        <v>88</v>
      </c>
      <c r="Q7" s="15">
        <v>1078.0999999999999</v>
      </c>
      <c r="R7" s="16">
        <v>0.84850000000000003</v>
      </c>
      <c r="S7" s="11">
        <v>26.5</v>
      </c>
      <c r="T7" s="11">
        <v>45.01</v>
      </c>
      <c r="U7" s="11">
        <v>57.59</v>
      </c>
      <c r="V7" s="8" t="s">
        <v>99</v>
      </c>
      <c r="W7" s="22">
        <v>58.6</v>
      </c>
      <c r="X7" s="17">
        <v>-39.799999999999997</v>
      </c>
      <c r="Y7" s="18">
        <v>1.12E-2</v>
      </c>
      <c r="Z7" s="19">
        <v>-2.0199999999999999E-2</v>
      </c>
      <c r="AA7" s="11">
        <v>0</v>
      </c>
      <c r="AB7" s="11">
        <v>-17</v>
      </c>
    </row>
  </sheetData>
  <mergeCells count="1">
    <mergeCell ref="A1:A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defaultRowHeight="15" x14ac:dyDescent="0.25"/>
  <cols>
    <col min="1" max="1" width="29.7109375" customWidth="1"/>
    <col min="2" max="2" width="21.7109375" customWidth="1"/>
    <col min="3" max="3" width="10.7109375" customWidth="1"/>
    <col min="4" max="4" width="14.7109375" customWidth="1"/>
    <col min="5" max="6" width="9.7109375" customWidth="1"/>
    <col min="7" max="10" width="17.7109375" customWidth="1"/>
  </cols>
  <sheetData>
    <row r="1" spans="1:10" ht="20.100000000000001" customHeight="1" x14ac:dyDescent="0.25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9.950000000000003" customHeight="1" x14ac:dyDescent="0.25">
      <c r="A2" s="6" t="s">
        <v>31</v>
      </c>
      <c r="B2" s="6" t="s">
        <v>190</v>
      </c>
      <c r="C2" s="6" t="s">
        <v>191</v>
      </c>
      <c r="D2" s="6" t="s">
        <v>192</v>
      </c>
      <c r="E2" s="6" t="s">
        <v>193</v>
      </c>
      <c r="F2" s="6" t="s">
        <v>194</v>
      </c>
      <c r="G2" s="6" t="s">
        <v>195</v>
      </c>
      <c r="H2" s="6" t="s">
        <v>196</v>
      </c>
      <c r="I2" s="6" t="s">
        <v>197</v>
      </c>
      <c r="J2" s="6" t="s">
        <v>198</v>
      </c>
    </row>
    <row r="3" spans="1:10" x14ac:dyDescent="0.25">
      <c r="A3" s="7" t="s">
        <v>50</v>
      </c>
      <c r="B3" s="7" t="s">
        <v>199</v>
      </c>
      <c r="C3" s="7">
        <v>2024</v>
      </c>
      <c r="D3" s="23">
        <v>131</v>
      </c>
      <c r="E3" s="15">
        <v>2694.8</v>
      </c>
      <c r="F3" s="16">
        <v>0.89549999999999996</v>
      </c>
      <c r="G3" s="7" t="s">
        <v>97</v>
      </c>
      <c r="H3" s="11">
        <v>50.11</v>
      </c>
      <c r="I3" s="11">
        <v>65.39</v>
      </c>
      <c r="J3" s="11">
        <v>71.5</v>
      </c>
    </row>
    <row r="4" spans="1:10" x14ac:dyDescent="0.25">
      <c r="A4" s="12" t="s">
        <v>50</v>
      </c>
      <c r="B4" s="12" t="s">
        <v>200</v>
      </c>
      <c r="C4" s="12">
        <v>2025</v>
      </c>
      <c r="D4" s="24">
        <v>126</v>
      </c>
      <c r="E4" s="20">
        <v>1929.3</v>
      </c>
      <c r="F4" s="21">
        <v>0.85909999999999997</v>
      </c>
      <c r="G4" s="12" t="s">
        <v>97</v>
      </c>
      <c r="H4" s="14">
        <v>42.07</v>
      </c>
      <c r="I4" s="14">
        <v>54.24</v>
      </c>
      <c r="J4" s="14">
        <v>61.09</v>
      </c>
    </row>
    <row r="5" spans="1:10" x14ac:dyDescent="0.25">
      <c r="A5" s="7" t="s">
        <v>50</v>
      </c>
      <c r="B5" s="7" t="s">
        <v>201</v>
      </c>
      <c r="C5" s="7">
        <v>2026</v>
      </c>
      <c r="D5" s="23">
        <v>121</v>
      </c>
      <c r="E5" s="15">
        <v>1253.0999999999999</v>
      </c>
      <c r="F5" s="16">
        <v>0.83620000000000005</v>
      </c>
      <c r="G5" s="7" t="s">
        <v>97</v>
      </c>
      <c r="H5" s="11">
        <v>31.72</v>
      </c>
      <c r="I5" s="11">
        <v>49.34</v>
      </c>
      <c r="J5" s="11">
        <v>56.8</v>
      </c>
    </row>
    <row r="6" spans="1:10" x14ac:dyDescent="0.25">
      <c r="A6" s="12" t="s">
        <v>51</v>
      </c>
      <c r="B6" s="12" t="s">
        <v>199</v>
      </c>
      <c r="C6" s="12">
        <v>2024</v>
      </c>
      <c r="D6" s="24">
        <v>106</v>
      </c>
      <c r="E6" s="20">
        <v>2362.3000000000002</v>
      </c>
      <c r="F6" s="21">
        <v>0.90559999999999996</v>
      </c>
      <c r="G6" s="12" t="s">
        <v>97</v>
      </c>
      <c r="H6" s="14">
        <v>45.68</v>
      </c>
      <c r="I6" s="14">
        <v>64.540000000000006</v>
      </c>
      <c r="J6" s="14">
        <v>75.599999999999994</v>
      </c>
    </row>
    <row r="7" spans="1:10" x14ac:dyDescent="0.25">
      <c r="A7" s="7" t="s">
        <v>51</v>
      </c>
      <c r="B7" s="7" t="s">
        <v>200</v>
      </c>
      <c r="C7" s="7">
        <v>2025</v>
      </c>
      <c r="D7" s="23">
        <v>105</v>
      </c>
      <c r="E7" s="15">
        <v>1877.3</v>
      </c>
      <c r="F7" s="16">
        <v>0.89529999999999998</v>
      </c>
      <c r="G7" s="7" t="s">
        <v>97</v>
      </c>
      <c r="H7" s="11">
        <v>39.799999999999997</v>
      </c>
      <c r="I7" s="11">
        <v>57.87</v>
      </c>
      <c r="J7" s="11">
        <v>69.8</v>
      </c>
    </row>
    <row r="8" spans="1:10" x14ac:dyDescent="0.25">
      <c r="A8" s="12" t="s">
        <v>51</v>
      </c>
      <c r="B8" s="12" t="s">
        <v>201</v>
      </c>
      <c r="C8" s="12">
        <v>2026</v>
      </c>
      <c r="D8" s="24">
        <v>80</v>
      </c>
      <c r="E8" s="20">
        <v>1313.8</v>
      </c>
      <c r="F8" s="21">
        <v>0.84009999999999996</v>
      </c>
      <c r="G8" s="12" t="s">
        <v>97</v>
      </c>
      <c r="H8" s="14">
        <v>29.96</v>
      </c>
      <c r="I8" s="14">
        <v>52.69</v>
      </c>
      <c r="J8" s="14">
        <v>65.8</v>
      </c>
    </row>
    <row r="9" spans="1:10" x14ac:dyDescent="0.25">
      <c r="A9" s="7" t="s">
        <v>53</v>
      </c>
      <c r="B9" s="7" t="s">
        <v>199</v>
      </c>
      <c r="C9" s="7">
        <v>2024</v>
      </c>
      <c r="D9" s="23">
        <v>105</v>
      </c>
      <c r="E9" s="15">
        <v>1059.3</v>
      </c>
      <c r="F9" s="16">
        <v>0.85750000000000004</v>
      </c>
      <c r="G9" s="7" t="s">
        <v>99</v>
      </c>
      <c r="H9" s="11">
        <v>26.02</v>
      </c>
      <c r="I9" s="11">
        <v>44.91</v>
      </c>
      <c r="J9" s="11">
        <v>59.42</v>
      </c>
    </row>
    <row r="10" spans="1:10" x14ac:dyDescent="0.25">
      <c r="A10" s="12" t="s">
        <v>53</v>
      </c>
      <c r="B10" s="12" t="s">
        <v>200</v>
      </c>
      <c r="C10" s="12">
        <v>2025</v>
      </c>
      <c r="D10" s="24">
        <v>105</v>
      </c>
      <c r="E10" s="20">
        <v>1117.9000000000001</v>
      </c>
      <c r="F10" s="21">
        <v>0.86870000000000003</v>
      </c>
      <c r="G10" s="12" t="s">
        <v>99</v>
      </c>
      <c r="H10" s="14">
        <v>27.35</v>
      </c>
      <c r="I10" s="14">
        <v>45.42</v>
      </c>
      <c r="J10" s="14">
        <v>58.05</v>
      </c>
    </row>
    <row r="11" spans="1:10" x14ac:dyDescent="0.25">
      <c r="A11" s="7" t="s">
        <v>53</v>
      </c>
      <c r="B11" s="7" t="s">
        <v>201</v>
      </c>
      <c r="C11" s="7">
        <v>2026</v>
      </c>
      <c r="D11" s="23">
        <v>88</v>
      </c>
      <c r="E11" s="15">
        <v>1078.0999999999999</v>
      </c>
      <c r="F11" s="16">
        <v>0.84850000000000003</v>
      </c>
      <c r="G11" s="7" t="s">
        <v>99</v>
      </c>
      <c r="H11" s="11">
        <v>26.5</v>
      </c>
      <c r="I11" s="11">
        <v>45.01</v>
      </c>
      <c r="J11" s="11">
        <v>57.59</v>
      </c>
    </row>
    <row r="12" spans="1:10" x14ac:dyDescent="0.25">
      <c r="A12" s="12" t="s">
        <v>54</v>
      </c>
      <c r="B12" s="12" t="s">
        <v>199</v>
      </c>
      <c r="C12" s="12">
        <v>2024</v>
      </c>
      <c r="D12" s="24">
        <v>42</v>
      </c>
      <c r="E12" s="20">
        <v>4082.1</v>
      </c>
      <c r="F12" s="21">
        <v>0.93130000000000002</v>
      </c>
      <c r="G12" s="12" t="s">
        <v>102</v>
      </c>
      <c r="H12" s="14">
        <v>50.33</v>
      </c>
      <c r="I12" s="14">
        <v>93.03</v>
      </c>
      <c r="J12" s="14">
        <v>96.96</v>
      </c>
    </row>
    <row r="13" spans="1:10" x14ac:dyDescent="0.25">
      <c r="A13" s="7" t="s">
        <v>54</v>
      </c>
      <c r="B13" s="7" t="s">
        <v>200</v>
      </c>
      <c r="C13" s="7">
        <v>2025</v>
      </c>
      <c r="D13" s="23">
        <v>47</v>
      </c>
      <c r="E13" s="15">
        <v>4068.2</v>
      </c>
      <c r="F13" s="16">
        <v>0.93630000000000002</v>
      </c>
      <c r="G13" s="7" t="s">
        <v>107</v>
      </c>
      <c r="H13" s="11">
        <v>46.89</v>
      </c>
      <c r="I13" s="11">
        <v>92.72</v>
      </c>
      <c r="J13" s="11">
        <v>96.12</v>
      </c>
    </row>
    <row r="14" spans="1:10" x14ac:dyDescent="0.25">
      <c r="A14" s="12" t="s">
        <v>54</v>
      </c>
      <c r="B14" s="12" t="s">
        <v>201</v>
      </c>
      <c r="C14" s="12">
        <v>2026</v>
      </c>
      <c r="D14" s="24">
        <v>39</v>
      </c>
      <c r="E14" s="20">
        <v>3594</v>
      </c>
      <c r="F14" s="21">
        <v>0.90559999999999996</v>
      </c>
      <c r="G14" s="12" t="s">
        <v>102</v>
      </c>
      <c r="H14" s="14">
        <v>46.39</v>
      </c>
      <c r="I14" s="14">
        <v>87.88</v>
      </c>
      <c r="J14" s="14">
        <v>92.61</v>
      </c>
    </row>
    <row r="15" spans="1:10" x14ac:dyDescent="0.25">
      <c r="A15" s="7" t="s">
        <v>55</v>
      </c>
      <c r="B15" s="7" t="s">
        <v>199</v>
      </c>
      <c r="C15" s="7">
        <v>2024</v>
      </c>
      <c r="D15" s="23">
        <v>159</v>
      </c>
      <c r="E15" s="15">
        <v>1862.9</v>
      </c>
      <c r="F15" s="16">
        <v>0.88780000000000003</v>
      </c>
      <c r="G15" s="7" t="s">
        <v>97</v>
      </c>
      <c r="H15" s="11">
        <v>41.04</v>
      </c>
      <c r="I15" s="11">
        <v>54.55</v>
      </c>
      <c r="J15" s="11">
        <v>62.86</v>
      </c>
    </row>
    <row r="16" spans="1:10" x14ac:dyDescent="0.25">
      <c r="A16" s="12" t="s">
        <v>55</v>
      </c>
      <c r="B16" s="12" t="s">
        <v>200</v>
      </c>
      <c r="C16" s="12">
        <v>2025</v>
      </c>
      <c r="D16" s="24">
        <v>153</v>
      </c>
      <c r="E16" s="20">
        <v>1297.8</v>
      </c>
      <c r="F16" s="21">
        <v>0.85970000000000002</v>
      </c>
      <c r="G16" s="12" t="s">
        <v>97</v>
      </c>
      <c r="H16" s="14">
        <v>33.51</v>
      </c>
      <c r="I16" s="14">
        <v>46.1</v>
      </c>
      <c r="J16" s="14">
        <v>53.31</v>
      </c>
    </row>
    <row r="17" spans="1:10" x14ac:dyDescent="0.25">
      <c r="A17" s="7" t="s">
        <v>55</v>
      </c>
      <c r="B17" s="7" t="s">
        <v>201</v>
      </c>
      <c r="C17" s="7">
        <v>2026</v>
      </c>
      <c r="D17" s="23">
        <v>146</v>
      </c>
      <c r="E17" s="15">
        <v>839.5</v>
      </c>
      <c r="F17" s="16">
        <v>0.83660000000000001</v>
      </c>
      <c r="G17" s="7" t="s">
        <v>97</v>
      </c>
      <c r="H17" s="11">
        <v>24.79</v>
      </c>
      <c r="I17" s="11">
        <v>38.76</v>
      </c>
      <c r="J17" s="11">
        <v>47.37</v>
      </c>
    </row>
  </sheetData>
  <mergeCells count="1">
    <mergeCell ref="A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25.7109375" customWidth="1"/>
    <col min="2" max="4" width="14.7109375" customWidth="1"/>
    <col min="5" max="7" width="17.7109375" customWidth="1"/>
    <col min="8" max="9" width="21.7109375" customWidth="1"/>
    <col min="10" max="11" width="20.7109375" customWidth="1"/>
    <col min="12" max="12" width="22.7109375" customWidth="1"/>
  </cols>
  <sheetData>
    <row r="1" spans="1:12" ht="20.100000000000001" customHeight="1" x14ac:dyDescent="0.25">
      <c r="A1" s="27" t="s">
        <v>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39.950000000000003" customHeight="1" x14ac:dyDescent="0.25">
      <c r="A2" s="6" t="s">
        <v>92</v>
      </c>
      <c r="B2" s="6" t="s">
        <v>202</v>
      </c>
      <c r="C2" s="6" t="s">
        <v>203</v>
      </c>
      <c r="D2" s="6" t="s">
        <v>204</v>
      </c>
      <c r="E2" s="6" t="s">
        <v>205</v>
      </c>
      <c r="F2" s="6" t="s">
        <v>94</v>
      </c>
      <c r="G2" s="6" t="s">
        <v>95</v>
      </c>
      <c r="H2" s="6" t="s">
        <v>206</v>
      </c>
      <c r="I2" s="6" t="s">
        <v>207</v>
      </c>
      <c r="J2" s="6" t="s">
        <v>208</v>
      </c>
      <c r="K2" s="6" t="s">
        <v>209</v>
      </c>
      <c r="L2" s="6" t="s">
        <v>210</v>
      </c>
    </row>
    <row r="3" spans="1:12" x14ac:dyDescent="0.25">
      <c r="A3" s="7" t="s">
        <v>97</v>
      </c>
      <c r="B3" s="8">
        <v>792734260</v>
      </c>
      <c r="C3" s="8">
        <v>618390625</v>
      </c>
      <c r="D3" s="8">
        <v>174416163</v>
      </c>
      <c r="E3" s="11">
        <v>41.04</v>
      </c>
      <c r="F3" s="11">
        <v>33.51</v>
      </c>
      <c r="G3" s="11">
        <v>24.79</v>
      </c>
      <c r="H3" s="9">
        <v>-7.53</v>
      </c>
      <c r="I3" s="9">
        <v>-8.7200000000000006</v>
      </c>
      <c r="J3" s="9">
        <v>-22</v>
      </c>
      <c r="K3" s="9">
        <v>-71.8</v>
      </c>
      <c r="L3" s="7" t="s">
        <v>211</v>
      </c>
    </row>
    <row r="4" spans="1:12" x14ac:dyDescent="0.25">
      <c r="A4" s="12" t="s">
        <v>98</v>
      </c>
      <c r="B4" s="13">
        <v>170516788</v>
      </c>
      <c r="C4" s="13">
        <v>121309777</v>
      </c>
      <c r="D4" s="13">
        <v>53568518</v>
      </c>
      <c r="E4" s="14">
        <v>8.83</v>
      </c>
      <c r="F4" s="14">
        <v>6.57</v>
      </c>
      <c r="G4" s="14">
        <v>7.61</v>
      </c>
      <c r="H4" s="9">
        <v>-2.2599999999999998</v>
      </c>
      <c r="I4" s="10">
        <v>1.04</v>
      </c>
      <c r="J4" s="9">
        <v>-28.9</v>
      </c>
      <c r="K4" s="9">
        <v>-55.8</v>
      </c>
      <c r="L4" s="12" t="s">
        <v>212</v>
      </c>
    </row>
    <row r="5" spans="1:12" x14ac:dyDescent="0.25">
      <c r="A5" s="7" t="s">
        <v>99</v>
      </c>
      <c r="B5" s="8">
        <v>89856131</v>
      </c>
      <c r="C5" s="8">
        <v>111008890</v>
      </c>
      <c r="D5" s="8">
        <v>44796199</v>
      </c>
      <c r="E5" s="11">
        <v>4.6500000000000004</v>
      </c>
      <c r="F5" s="11">
        <v>6.02</v>
      </c>
      <c r="G5" s="11">
        <v>6.37</v>
      </c>
      <c r="H5" s="10">
        <v>1.37</v>
      </c>
      <c r="I5" s="10">
        <v>0.35</v>
      </c>
      <c r="J5" s="10">
        <v>23.5</v>
      </c>
      <c r="K5" s="9">
        <v>-59.6</v>
      </c>
      <c r="L5" s="7" t="s">
        <v>213</v>
      </c>
    </row>
    <row r="6" spans="1:12" x14ac:dyDescent="0.25">
      <c r="A6" s="12" t="s">
        <v>102</v>
      </c>
      <c r="B6" s="13">
        <v>90551205</v>
      </c>
      <c r="C6" s="13">
        <v>74557131</v>
      </c>
      <c r="D6" s="13">
        <v>22464031</v>
      </c>
      <c r="E6" s="14">
        <v>4.6900000000000004</v>
      </c>
      <c r="F6" s="14">
        <v>4.04</v>
      </c>
      <c r="G6" s="14">
        <v>3.19</v>
      </c>
      <c r="H6" s="9">
        <v>-0.65</v>
      </c>
      <c r="I6" s="9">
        <v>-0.85</v>
      </c>
      <c r="J6" s="9">
        <v>-17.7</v>
      </c>
      <c r="K6" s="9">
        <v>-69.900000000000006</v>
      </c>
      <c r="L6" s="12" t="s">
        <v>211</v>
      </c>
    </row>
    <row r="7" spans="1:12" x14ac:dyDescent="0.25">
      <c r="A7" s="7" t="s">
        <v>101</v>
      </c>
      <c r="B7" s="8">
        <v>70613472</v>
      </c>
      <c r="C7" s="8">
        <v>58443872</v>
      </c>
      <c r="D7" s="8">
        <v>23536971</v>
      </c>
      <c r="E7" s="11">
        <v>3.66</v>
      </c>
      <c r="F7" s="11">
        <v>3.17</v>
      </c>
      <c r="G7" s="11">
        <v>3.34</v>
      </c>
      <c r="H7" s="9">
        <v>-0.49</v>
      </c>
      <c r="I7" s="10">
        <v>0.17</v>
      </c>
      <c r="J7" s="9">
        <v>-17.2</v>
      </c>
      <c r="K7" s="9">
        <v>-59.7</v>
      </c>
      <c r="L7" s="7" t="s">
        <v>213</v>
      </c>
    </row>
    <row r="8" spans="1:12" x14ac:dyDescent="0.25">
      <c r="A8" s="12" t="s">
        <v>100</v>
      </c>
      <c r="B8" s="13">
        <v>41981116</v>
      </c>
      <c r="C8" s="13">
        <v>51737515</v>
      </c>
      <c r="D8" s="13">
        <v>36999249</v>
      </c>
      <c r="E8" s="14">
        <v>2.17</v>
      </c>
      <c r="F8" s="14">
        <v>2.8</v>
      </c>
      <c r="G8" s="14">
        <v>5.26</v>
      </c>
      <c r="H8" s="10">
        <v>0.63</v>
      </c>
      <c r="I8" s="10">
        <v>2.46</v>
      </c>
      <c r="J8" s="10">
        <v>23.2</v>
      </c>
      <c r="K8" s="9">
        <v>-28.5</v>
      </c>
      <c r="L8" s="12" t="s">
        <v>212</v>
      </c>
    </row>
    <row r="9" spans="1:12" x14ac:dyDescent="0.25">
      <c r="A9" s="7" t="s">
        <v>104</v>
      </c>
      <c r="B9" s="8">
        <v>46518480</v>
      </c>
      <c r="C9" s="8">
        <v>50464576</v>
      </c>
      <c r="D9" s="8">
        <v>20880878</v>
      </c>
      <c r="E9" s="11">
        <v>2.41</v>
      </c>
      <c r="F9" s="11">
        <v>2.73</v>
      </c>
      <c r="G9" s="11">
        <v>2.97</v>
      </c>
      <c r="H9" s="10">
        <v>0.32</v>
      </c>
      <c r="I9" s="10">
        <v>0.24</v>
      </c>
      <c r="J9" s="10">
        <v>8.5</v>
      </c>
      <c r="K9" s="9">
        <v>-58.6</v>
      </c>
      <c r="L9" s="7" t="s">
        <v>213</v>
      </c>
    </row>
    <row r="10" spans="1:12" x14ac:dyDescent="0.25">
      <c r="A10" s="12" t="s">
        <v>106</v>
      </c>
      <c r="B10" s="13">
        <v>47372301</v>
      </c>
      <c r="C10" s="13">
        <v>48763816</v>
      </c>
      <c r="D10" s="13">
        <v>18254257</v>
      </c>
      <c r="E10" s="14">
        <v>2.4500000000000002</v>
      </c>
      <c r="F10" s="14">
        <v>2.64</v>
      </c>
      <c r="G10" s="14">
        <v>2.59</v>
      </c>
      <c r="H10" s="10">
        <v>0.19</v>
      </c>
      <c r="I10" s="9">
        <v>-0.05</v>
      </c>
      <c r="J10" s="10">
        <v>2.9</v>
      </c>
      <c r="K10" s="9">
        <v>-62.6</v>
      </c>
      <c r="L10" s="12" t="s">
        <v>213</v>
      </c>
    </row>
    <row r="11" spans="1:12" x14ac:dyDescent="0.25">
      <c r="A11" s="7" t="s">
        <v>107</v>
      </c>
      <c r="B11" s="8">
        <v>34203866</v>
      </c>
      <c r="C11" s="8">
        <v>43666874</v>
      </c>
      <c r="D11" s="8">
        <v>17802429</v>
      </c>
      <c r="E11" s="11">
        <v>1.77</v>
      </c>
      <c r="F11" s="11">
        <v>2.37</v>
      </c>
      <c r="G11" s="11">
        <v>2.5299999999999998</v>
      </c>
      <c r="H11" s="10">
        <v>0.6</v>
      </c>
      <c r="I11" s="10">
        <v>0.16</v>
      </c>
      <c r="J11" s="10">
        <v>27.7</v>
      </c>
      <c r="K11" s="9">
        <v>-59.2</v>
      </c>
      <c r="L11" s="7" t="s">
        <v>213</v>
      </c>
    </row>
    <row r="12" spans="1:12" x14ac:dyDescent="0.25">
      <c r="A12" s="12" t="s">
        <v>105</v>
      </c>
      <c r="B12" s="13">
        <v>34127248</v>
      </c>
      <c r="C12" s="13">
        <v>42560410</v>
      </c>
      <c r="D12" s="13">
        <v>18507219</v>
      </c>
      <c r="E12" s="14">
        <v>1.77</v>
      </c>
      <c r="F12" s="14">
        <v>2.31</v>
      </c>
      <c r="G12" s="14">
        <v>2.63</v>
      </c>
      <c r="H12" s="10">
        <v>0.54</v>
      </c>
      <c r="I12" s="10">
        <v>0.32</v>
      </c>
      <c r="J12" s="10">
        <v>24.7</v>
      </c>
      <c r="K12" s="9">
        <v>-56.5</v>
      </c>
      <c r="L12" s="12" t="s">
        <v>213</v>
      </c>
    </row>
    <row r="13" spans="1:12" x14ac:dyDescent="0.25">
      <c r="A13" s="7" t="s">
        <v>109</v>
      </c>
      <c r="B13" s="8">
        <v>28452944</v>
      </c>
      <c r="C13" s="8">
        <v>38396941</v>
      </c>
      <c r="D13" s="8">
        <v>14716745</v>
      </c>
      <c r="E13" s="11">
        <v>1.47</v>
      </c>
      <c r="F13" s="11">
        <v>2.08</v>
      </c>
      <c r="G13" s="11">
        <v>2.09</v>
      </c>
      <c r="H13" s="10">
        <v>0.61</v>
      </c>
      <c r="I13" s="10">
        <v>0.01</v>
      </c>
      <c r="J13" s="10">
        <v>34.9</v>
      </c>
      <c r="K13" s="9">
        <v>-61.7</v>
      </c>
      <c r="L13" s="7" t="s">
        <v>213</v>
      </c>
    </row>
    <row r="14" spans="1:12" x14ac:dyDescent="0.25">
      <c r="A14" s="12" t="s">
        <v>115</v>
      </c>
      <c r="B14" s="13">
        <v>21099209</v>
      </c>
      <c r="C14" s="13">
        <v>37785001</v>
      </c>
      <c r="D14" s="13">
        <v>9506153</v>
      </c>
      <c r="E14" s="14">
        <v>1.0900000000000001</v>
      </c>
      <c r="F14" s="14">
        <v>2.0499999999999998</v>
      </c>
      <c r="G14" s="14">
        <v>1.35</v>
      </c>
      <c r="H14" s="10">
        <v>0.96</v>
      </c>
      <c r="I14" s="9">
        <v>-0.7</v>
      </c>
      <c r="J14" s="10">
        <v>79.099999999999994</v>
      </c>
      <c r="K14" s="9">
        <v>-74.8</v>
      </c>
      <c r="L14" s="12" t="s">
        <v>211</v>
      </c>
    </row>
    <row r="15" spans="1:12" x14ac:dyDescent="0.25">
      <c r="A15" s="7" t="s">
        <v>103</v>
      </c>
      <c r="B15" s="8">
        <v>17139064</v>
      </c>
      <c r="C15" s="8">
        <v>33553024</v>
      </c>
      <c r="D15" s="8">
        <v>21898854</v>
      </c>
      <c r="E15" s="11">
        <v>0.89</v>
      </c>
      <c r="F15" s="11">
        <v>1.82</v>
      </c>
      <c r="G15" s="11">
        <v>3.11</v>
      </c>
      <c r="H15" s="10">
        <v>0.93</v>
      </c>
      <c r="I15" s="10">
        <v>1.29</v>
      </c>
      <c r="J15" s="10">
        <v>95.8</v>
      </c>
      <c r="K15" s="9">
        <v>-34.700000000000003</v>
      </c>
      <c r="L15" s="7" t="s">
        <v>212</v>
      </c>
    </row>
    <row r="16" spans="1:12" x14ac:dyDescent="0.25">
      <c r="A16" s="12" t="s">
        <v>110</v>
      </c>
      <c r="B16" s="13">
        <v>28350733</v>
      </c>
      <c r="C16" s="13">
        <v>30994342</v>
      </c>
      <c r="D16" s="13">
        <v>14244206</v>
      </c>
      <c r="E16" s="14">
        <v>1.47</v>
      </c>
      <c r="F16" s="14">
        <v>1.68</v>
      </c>
      <c r="G16" s="14">
        <v>2.02</v>
      </c>
      <c r="H16" s="10">
        <v>0.21</v>
      </c>
      <c r="I16" s="10">
        <v>0.34</v>
      </c>
      <c r="J16" s="10">
        <v>9.3000000000000007</v>
      </c>
      <c r="K16" s="9">
        <v>-54</v>
      </c>
      <c r="L16" s="12" t="s">
        <v>213</v>
      </c>
    </row>
    <row r="17" spans="1:12" x14ac:dyDescent="0.25">
      <c r="A17" s="7" t="s">
        <v>113</v>
      </c>
      <c r="B17" s="8">
        <v>33369921</v>
      </c>
      <c r="C17" s="8">
        <v>30064297</v>
      </c>
      <c r="D17" s="8">
        <v>10001924</v>
      </c>
      <c r="E17" s="11">
        <v>1.73</v>
      </c>
      <c r="F17" s="11">
        <v>1.63</v>
      </c>
      <c r="G17" s="11">
        <v>1.42</v>
      </c>
      <c r="H17" s="9">
        <v>-0.1</v>
      </c>
      <c r="I17" s="9">
        <v>-0.21</v>
      </c>
      <c r="J17" s="9">
        <v>-9.9</v>
      </c>
      <c r="K17" s="9">
        <v>-66.7</v>
      </c>
      <c r="L17" s="7" t="s">
        <v>213</v>
      </c>
    </row>
    <row r="18" spans="1:12" x14ac:dyDescent="0.25">
      <c r="A18" s="12" t="s">
        <v>114</v>
      </c>
      <c r="B18" s="13">
        <v>20202303</v>
      </c>
      <c r="C18" s="13">
        <v>27609238</v>
      </c>
      <c r="D18" s="13">
        <v>9692822</v>
      </c>
      <c r="E18" s="14">
        <v>1.05</v>
      </c>
      <c r="F18" s="14">
        <v>1.5</v>
      </c>
      <c r="G18" s="14">
        <v>1.38</v>
      </c>
      <c r="H18" s="10">
        <v>0.45</v>
      </c>
      <c r="I18" s="9">
        <v>-0.12</v>
      </c>
      <c r="J18" s="10">
        <v>36.700000000000003</v>
      </c>
      <c r="K18" s="9">
        <v>-64.900000000000006</v>
      </c>
      <c r="L18" s="12" t="s">
        <v>213</v>
      </c>
    </row>
    <row r="19" spans="1:12" x14ac:dyDescent="0.25">
      <c r="A19" s="7" t="s">
        <v>112</v>
      </c>
      <c r="B19" s="8">
        <v>12166679</v>
      </c>
      <c r="C19" s="8">
        <v>25953022</v>
      </c>
      <c r="D19" s="8">
        <v>12173720</v>
      </c>
      <c r="E19" s="11">
        <v>0.63</v>
      </c>
      <c r="F19" s="11">
        <v>1.41</v>
      </c>
      <c r="G19" s="11">
        <v>1.73</v>
      </c>
      <c r="H19" s="10">
        <v>0.78</v>
      </c>
      <c r="I19" s="10">
        <v>0.32</v>
      </c>
      <c r="J19" s="10">
        <v>113.3</v>
      </c>
      <c r="K19" s="9">
        <v>-53.1</v>
      </c>
      <c r="L19" s="7" t="s">
        <v>213</v>
      </c>
    </row>
    <row r="20" spans="1:12" x14ac:dyDescent="0.25">
      <c r="A20" s="12" t="s">
        <v>111</v>
      </c>
      <c r="B20" s="13">
        <v>28347247</v>
      </c>
      <c r="C20" s="13">
        <v>25034088</v>
      </c>
      <c r="D20" s="13">
        <v>13801569</v>
      </c>
      <c r="E20" s="14">
        <v>1.47</v>
      </c>
      <c r="F20" s="14">
        <v>1.36</v>
      </c>
      <c r="G20" s="14">
        <v>1.96</v>
      </c>
      <c r="H20" s="9">
        <v>-0.11</v>
      </c>
      <c r="I20" s="10">
        <v>0.6</v>
      </c>
      <c r="J20" s="9">
        <v>-11.7</v>
      </c>
      <c r="K20" s="9">
        <v>-44.9</v>
      </c>
      <c r="L20" s="12" t="s">
        <v>212</v>
      </c>
    </row>
    <row r="21" spans="1:12" x14ac:dyDescent="0.25">
      <c r="A21" s="7" t="s">
        <v>214</v>
      </c>
      <c r="B21" s="8">
        <v>21984840</v>
      </c>
      <c r="C21" s="8">
        <v>24664434</v>
      </c>
      <c r="D21" s="8">
        <v>6061430</v>
      </c>
      <c r="E21" s="11">
        <v>1.1399999999999999</v>
      </c>
      <c r="F21" s="11">
        <v>1.34</v>
      </c>
      <c r="G21" s="11">
        <v>0.86</v>
      </c>
      <c r="H21" s="10">
        <v>0.2</v>
      </c>
      <c r="I21" s="9">
        <v>-0.48</v>
      </c>
      <c r="J21" s="10">
        <v>12.2</v>
      </c>
      <c r="K21" s="9">
        <v>-75.400000000000006</v>
      </c>
      <c r="L21" s="7" t="s">
        <v>213</v>
      </c>
    </row>
    <row r="22" spans="1:12" x14ac:dyDescent="0.25">
      <c r="A22" s="12" t="s">
        <v>108</v>
      </c>
      <c r="B22" s="13">
        <v>13647146</v>
      </c>
      <c r="C22" s="13">
        <v>20707849</v>
      </c>
      <c r="D22" s="13">
        <v>14833283</v>
      </c>
      <c r="E22" s="14">
        <v>0.71</v>
      </c>
      <c r="F22" s="14">
        <v>1.1200000000000001</v>
      </c>
      <c r="G22" s="14">
        <v>2.11</v>
      </c>
      <c r="H22" s="10">
        <v>0.41</v>
      </c>
      <c r="I22" s="10">
        <v>0.99</v>
      </c>
      <c r="J22" s="10">
        <v>51.7</v>
      </c>
      <c r="K22" s="9">
        <v>-28.4</v>
      </c>
      <c r="L22" s="12" t="s">
        <v>212</v>
      </c>
    </row>
  </sheetData>
  <mergeCells count="1">
    <mergeCell ref="A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29.7109375" customWidth="1"/>
    <col min="2" max="2" width="21.7109375" customWidth="1"/>
    <col min="3" max="3" width="7.7109375" customWidth="1"/>
    <col min="4" max="4" width="26.7109375" customWidth="1"/>
    <col min="5" max="5" width="14.7109375" customWidth="1"/>
    <col min="6" max="6" width="12.7109375" customWidth="1"/>
  </cols>
  <sheetData>
    <row r="1" spans="1:6" ht="20.100000000000001" customHeight="1" x14ac:dyDescent="0.25">
      <c r="A1" s="27" t="s">
        <v>30</v>
      </c>
      <c r="B1" s="27"/>
      <c r="C1" s="27"/>
      <c r="D1" s="27"/>
      <c r="E1" s="27"/>
      <c r="F1" s="27"/>
    </row>
    <row r="2" spans="1:6" ht="39.950000000000003" customHeight="1" x14ac:dyDescent="0.25">
      <c r="A2" s="6" t="s">
        <v>31</v>
      </c>
      <c r="B2" s="6" t="s">
        <v>190</v>
      </c>
      <c r="C2" s="6" t="s">
        <v>215</v>
      </c>
      <c r="D2" s="6" t="s">
        <v>92</v>
      </c>
      <c r="E2" s="6" t="s">
        <v>216</v>
      </c>
      <c r="F2" s="6" t="s">
        <v>217</v>
      </c>
    </row>
    <row r="3" spans="1:6" x14ac:dyDescent="0.25">
      <c r="A3" s="7" t="s">
        <v>50</v>
      </c>
      <c r="B3" s="7" t="s">
        <v>199</v>
      </c>
      <c r="C3" s="23">
        <v>1</v>
      </c>
      <c r="D3" s="7" t="s">
        <v>97</v>
      </c>
      <c r="E3" s="8">
        <v>650820240</v>
      </c>
      <c r="F3" s="11">
        <v>58.85</v>
      </c>
    </row>
    <row r="4" spans="1:6" x14ac:dyDescent="0.25">
      <c r="A4" s="12" t="s">
        <v>50</v>
      </c>
      <c r="B4" s="12" t="s">
        <v>199</v>
      </c>
      <c r="C4" s="24">
        <v>2</v>
      </c>
      <c r="D4" s="12" t="s">
        <v>98</v>
      </c>
      <c r="E4" s="13">
        <v>141664724</v>
      </c>
      <c r="F4" s="14">
        <v>12.81</v>
      </c>
    </row>
    <row r="5" spans="1:6" x14ac:dyDescent="0.25">
      <c r="A5" s="7" t="s">
        <v>50</v>
      </c>
      <c r="B5" s="7" t="s">
        <v>199</v>
      </c>
      <c r="C5" s="23">
        <v>3</v>
      </c>
      <c r="D5" s="7" t="s">
        <v>102</v>
      </c>
      <c r="E5" s="8">
        <v>56690689</v>
      </c>
      <c r="F5" s="11">
        <v>5.13</v>
      </c>
    </row>
    <row r="6" spans="1:6" x14ac:dyDescent="0.25">
      <c r="A6" s="12" t="s">
        <v>50</v>
      </c>
      <c r="B6" s="12" t="s">
        <v>199</v>
      </c>
      <c r="C6" s="24">
        <v>4</v>
      </c>
      <c r="D6" s="12" t="s">
        <v>101</v>
      </c>
      <c r="E6" s="13">
        <v>43710967</v>
      </c>
      <c r="F6" s="14">
        <v>3.95</v>
      </c>
    </row>
    <row r="7" spans="1:6" x14ac:dyDescent="0.25">
      <c r="A7" s="7" t="s">
        <v>50</v>
      </c>
      <c r="B7" s="7" t="s">
        <v>199</v>
      </c>
      <c r="C7" s="23">
        <v>5</v>
      </c>
      <c r="D7" s="7" t="s">
        <v>100</v>
      </c>
      <c r="E7" s="8">
        <v>35697231</v>
      </c>
      <c r="F7" s="11">
        <v>3.23</v>
      </c>
    </row>
    <row r="8" spans="1:6" x14ac:dyDescent="0.25">
      <c r="A8" s="12" t="s">
        <v>50</v>
      </c>
      <c r="B8" s="12" t="s">
        <v>199</v>
      </c>
      <c r="C8" s="24">
        <v>6</v>
      </c>
      <c r="D8" s="12" t="s">
        <v>111</v>
      </c>
      <c r="E8" s="13">
        <v>28347247</v>
      </c>
      <c r="F8" s="14">
        <v>2.56</v>
      </c>
    </row>
    <row r="9" spans="1:6" x14ac:dyDescent="0.25">
      <c r="A9" s="7" t="s">
        <v>50</v>
      </c>
      <c r="B9" s="7" t="s">
        <v>199</v>
      </c>
      <c r="C9" s="23">
        <v>7</v>
      </c>
      <c r="D9" s="7" t="s">
        <v>105</v>
      </c>
      <c r="E9" s="8">
        <v>24649076</v>
      </c>
      <c r="F9" s="11">
        <v>2.23</v>
      </c>
    </row>
    <row r="10" spans="1:6" x14ac:dyDescent="0.25">
      <c r="A10" s="12" t="s">
        <v>50</v>
      </c>
      <c r="B10" s="12" t="s">
        <v>199</v>
      </c>
      <c r="C10" s="24">
        <v>8</v>
      </c>
      <c r="D10" s="12" t="s">
        <v>110</v>
      </c>
      <c r="E10" s="13">
        <v>20236535</v>
      </c>
      <c r="F10" s="14">
        <v>1.83</v>
      </c>
    </row>
    <row r="11" spans="1:6" x14ac:dyDescent="0.25">
      <c r="A11" s="7" t="s">
        <v>50</v>
      </c>
      <c r="B11" s="7" t="s">
        <v>199</v>
      </c>
      <c r="C11" s="23">
        <v>9</v>
      </c>
      <c r="D11" s="7" t="s">
        <v>115</v>
      </c>
      <c r="E11" s="8">
        <v>19003129</v>
      </c>
      <c r="F11" s="11">
        <v>1.72</v>
      </c>
    </row>
    <row r="12" spans="1:6" x14ac:dyDescent="0.25">
      <c r="A12" s="12" t="s">
        <v>50</v>
      </c>
      <c r="B12" s="12" t="s">
        <v>199</v>
      </c>
      <c r="C12" s="24">
        <v>10</v>
      </c>
      <c r="D12" s="12" t="s">
        <v>114</v>
      </c>
      <c r="E12" s="13">
        <v>18521929</v>
      </c>
      <c r="F12" s="14">
        <v>1.67</v>
      </c>
    </row>
    <row r="13" spans="1:6" x14ac:dyDescent="0.25">
      <c r="A13" s="7" t="s">
        <v>50</v>
      </c>
      <c r="B13" s="7" t="s">
        <v>199</v>
      </c>
      <c r="C13" s="23">
        <v>11</v>
      </c>
      <c r="D13" s="7" t="s">
        <v>113</v>
      </c>
      <c r="E13" s="8">
        <v>16190738</v>
      </c>
      <c r="F13" s="11">
        <v>1.46</v>
      </c>
    </row>
    <row r="14" spans="1:6" x14ac:dyDescent="0.25">
      <c r="A14" s="12" t="s">
        <v>50</v>
      </c>
      <c r="B14" s="12" t="s">
        <v>199</v>
      </c>
      <c r="C14" s="24">
        <v>12</v>
      </c>
      <c r="D14" s="12" t="s">
        <v>214</v>
      </c>
      <c r="E14" s="13">
        <v>15213299</v>
      </c>
      <c r="F14" s="14">
        <v>1.38</v>
      </c>
    </row>
    <row r="15" spans="1:6" x14ac:dyDescent="0.25">
      <c r="A15" s="7" t="s">
        <v>50</v>
      </c>
      <c r="B15" s="7" t="s">
        <v>199</v>
      </c>
      <c r="C15" s="23">
        <v>13</v>
      </c>
      <c r="D15" s="7" t="s">
        <v>218</v>
      </c>
      <c r="E15" s="8">
        <v>12350993</v>
      </c>
      <c r="F15" s="11">
        <v>1.1200000000000001</v>
      </c>
    </row>
    <row r="16" spans="1:6" x14ac:dyDescent="0.25">
      <c r="A16" s="12" t="s">
        <v>50</v>
      </c>
      <c r="B16" s="12" t="s">
        <v>199</v>
      </c>
      <c r="C16" s="24">
        <v>14</v>
      </c>
      <c r="D16" s="12" t="s">
        <v>107</v>
      </c>
      <c r="E16" s="13">
        <v>11987271</v>
      </c>
      <c r="F16" s="14">
        <v>1.08</v>
      </c>
    </row>
    <row r="17" spans="1:6" x14ac:dyDescent="0.25">
      <c r="A17" s="7" t="s">
        <v>50</v>
      </c>
      <c r="B17" s="7" t="s">
        <v>199</v>
      </c>
      <c r="C17" s="23">
        <v>15</v>
      </c>
      <c r="D17" s="7" t="s">
        <v>219</v>
      </c>
      <c r="E17" s="8">
        <v>10905049</v>
      </c>
      <c r="F17" s="11">
        <v>0.99</v>
      </c>
    </row>
    <row r="18" spans="1:6" x14ac:dyDescent="0.25">
      <c r="A18" s="12" t="s">
        <v>50</v>
      </c>
      <c r="B18" s="12" t="s">
        <v>200</v>
      </c>
      <c r="C18" s="24">
        <v>1</v>
      </c>
      <c r="D18" s="12" t="s">
        <v>97</v>
      </c>
      <c r="E18" s="13">
        <v>493111088</v>
      </c>
      <c r="F18" s="14">
        <v>52.44</v>
      </c>
    </row>
    <row r="19" spans="1:6" x14ac:dyDescent="0.25">
      <c r="A19" s="7" t="s">
        <v>50</v>
      </c>
      <c r="B19" s="7" t="s">
        <v>200</v>
      </c>
      <c r="C19" s="23">
        <v>2</v>
      </c>
      <c r="D19" s="7" t="s">
        <v>98</v>
      </c>
      <c r="E19" s="8">
        <v>97238184</v>
      </c>
      <c r="F19" s="11">
        <v>10.34</v>
      </c>
    </row>
    <row r="20" spans="1:6" x14ac:dyDescent="0.25">
      <c r="A20" s="12" t="s">
        <v>50</v>
      </c>
      <c r="B20" s="12" t="s">
        <v>200</v>
      </c>
      <c r="C20" s="24">
        <v>3</v>
      </c>
      <c r="D20" s="12" t="s">
        <v>100</v>
      </c>
      <c r="E20" s="13">
        <v>45377727</v>
      </c>
      <c r="F20" s="14">
        <v>4.83</v>
      </c>
    </row>
    <row r="21" spans="1:6" x14ac:dyDescent="0.25">
      <c r="A21" s="7" t="s">
        <v>50</v>
      </c>
      <c r="B21" s="7" t="s">
        <v>200</v>
      </c>
      <c r="C21" s="23">
        <v>4</v>
      </c>
      <c r="D21" s="7" t="s">
        <v>102</v>
      </c>
      <c r="E21" s="8">
        <v>44224207</v>
      </c>
      <c r="F21" s="11">
        <v>4.7</v>
      </c>
    </row>
    <row r="22" spans="1:6" x14ac:dyDescent="0.25">
      <c r="A22" s="12" t="s">
        <v>50</v>
      </c>
      <c r="B22" s="12" t="s">
        <v>200</v>
      </c>
      <c r="C22" s="24">
        <v>5</v>
      </c>
      <c r="D22" s="12" t="s">
        <v>115</v>
      </c>
      <c r="E22" s="13">
        <v>36026669</v>
      </c>
      <c r="F22" s="14">
        <v>3.83</v>
      </c>
    </row>
    <row r="23" spans="1:6" x14ac:dyDescent="0.25">
      <c r="A23" s="7" t="s">
        <v>50</v>
      </c>
      <c r="B23" s="7" t="s">
        <v>200</v>
      </c>
      <c r="C23" s="23">
        <v>6</v>
      </c>
      <c r="D23" s="7" t="s">
        <v>105</v>
      </c>
      <c r="E23" s="8">
        <v>35011994</v>
      </c>
      <c r="F23" s="11">
        <v>3.72</v>
      </c>
    </row>
    <row r="24" spans="1:6" x14ac:dyDescent="0.25">
      <c r="A24" s="12" t="s">
        <v>50</v>
      </c>
      <c r="B24" s="12" t="s">
        <v>200</v>
      </c>
      <c r="C24" s="24">
        <v>7</v>
      </c>
      <c r="D24" s="12" t="s">
        <v>101</v>
      </c>
      <c r="E24" s="13">
        <v>34293753</v>
      </c>
      <c r="F24" s="14">
        <v>3.65</v>
      </c>
    </row>
    <row r="25" spans="1:6" x14ac:dyDescent="0.25">
      <c r="A25" s="7" t="s">
        <v>50</v>
      </c>
      <c r="B25" s="7" t="s">
        <v>200</v>
      </c>
      <c r="C25" s="23">
        <v>8</v>
      </c>
      <c r="D25" s="7" t="s">
        <v>114</v>
      </c>
      <c r="E25" s="8">
        <v>25295926</v>
      </c>
      <c r="F25" s="11">
        <v>2.69</v>
      </c>
    </row>
    <row r="26" spans="1:6" x14ac:dyDescent="0.25">
      <c r="A26" s="12" t="s">
        <v>50</v>
      </c>
      <c r="B26" s="12" t="s">
        <v>200</v>
      </c>
      <c r="C26" s="24">
        <v>9</v>
      </c>
      <c r="D26" s="12" t="s">
        <v>111</v>
      </c>
      <c r="E26" s="13">
        <v>24984201</v>
      </c>
      <c r="F26" s="14">
        <v>2.66</v>
      </c>
    </row>
    <row r="27" spans="1:6" x14ac:dyDescent="0.25">
      <c r="A27" s="7" t="s">
        <v>50</v>
      </c>
      <c r="B27" s="7" t="s">
        <v>200</v>
      </c>
      <c r="C27" s="23">
        <v>10</v>
      </c>
      <c r="D27" s="7" t="s">
        <v>103</v>
      </c>
      <c r="E27" s="8">
        <v>24202426</v>
      </c>
      <c r="F27" s="11">
        <v>2.57</v>
      </c>
    </row>
    <row r="28" spans="1:6" x14ac:dyDescent="0.25">
      <c r="A28" s="12" t="s">
        <v>50</v>
      </c>
      <c r="B28" s="12" t="s">
        <v>200</v>
      </c>
      <c r="C28" s="24">
        <v>11</v>
      </c>
      <c r="D28" s="12" t="s">
        <v>110</v>
      </c>
      <c r="E28" s="13">
        <v>20527605</v>
      </c>
      <c r="F28" s="14">
        <v>2.1800000000000002</v>
      </c>
    </row>
    <row r="29" spans="1:6" x14ac:dyDescent="0.25">
      <c r="A29" s="7" t="s">
        <v>50</v>
      </c>
      <c r="B29" s="7" t="s">
        <v>200</v>
      </c>
      <c r="C29" s="23">
        <v>12</v>
      </c>
      <c r="D29" s="7" t="s">
        <v>107</v>
      </c>
      <c r="E29" s="8">
        <v>17294788</v>
      </c>
      <c r="F29" s="11">
        <v>1.84</v>
      </c>
    </row>
    <row r="30" spans="1:6" x14ac:dyDescent="0.25">
      <c r="A30" s="12" t="s">
        <v>50</v>
      </c>
      <c r="B30" s="12" t="s">
        <v>200</v>
      </c>
      <c r="C30" s="24">
        <v>13</v>
      </c>
      <c r="D30" s="12" t="s">
        <v>117</v>
      </c>
      <c r="E30" s="13">
        <v>16326747</v>
      </c>
      <c r="F30" s="14">
        <v>1.74</v>
      </c>
    </row>
    <row r="31" spans="1:6" x14ac:dyDescent="0.25">
      <c r="A31" s="7" t="s">
        <v>50</v>
      </c>
      <c r="B31" s="7" t="s">
        <v>200</v>
      </c>
      <c r="C31" s="23">
        <v>14</v>
      </c>
      <c r="D31" s="7" t="s">
        <v>218</v>
      </c>
      <c r="E31" s="8">
        <v>13543727</v>
      </c>
      <c r="F31" s="11">
        <v>1.44</v>
      </c>
    </row>
    <row r="32" spans="1:6" x14ac:dyDescent="0.25">
      <c r="A32" s="12" t="s">
        <v>50</v>
      </c>
      <c r="B32" s="12" t="s">
        <v>200</v>
      </c>
      <c r="C32" s="24">
        <v>15</v>
      </c>
      <c r="D32" s="12" t="s">
        <v>220</v>
      </c>
      <c r="E32" s="13">
        <v>12919134</v>
      </c>
      <c r="F32" s="14">
        <v>1.37</v>
      </c>
    </row>
    <row r="33" spans="1:6" x14ac:dyDescent="0.25">
      <c r="A33" s="7" t="s">
        <v>50</v>
      </c>
      <c r="B33" s="7" t="s">
        <v>201</v>
      </c>
      <c r="C33" s="23">
        <v>1</v>
      </c>
      <c r="D33" s="7" t="s">
        <v>97</v>
      </c>
      <c r="E33" s="8">
        <v>143936729</v>
      </c>
      <c r="F33" s="11">
        <v>40.93</v>
      </c>
    </row>
    <row r="34" spans="1:6" x14ac:dyDescent="0.25">
      <c r="A34" s="12" t="s">
        <v>50</v>
      </c>
      <c r="B34" s="12" t="s">
        <v>201</v>
      </c>
      <c r="C34" s="24">
        <v>2</v>
      </c>
      <c r="D34" s="12" t="s">
        <v>98</v>
      </c>
      <c r="E34" s="13">
        <v>45438090</v>
      </c>
      <c r="F34" s="14">
        <v>12.92</v>
      </c>
    </row>
    <row r="35" spans="1:6" x14ac:dyDescent="0.25">
      <c r="A35" s="7" t="s">
        <v>50</v>
      </c>
      <c r="B35" s="7" t="s">
        <v>201</v>
      </c>
      <c r="C35" s="23">
        <v>3</v>
      </c>
      <c r="D35" s="7" t="s">
        <v>100</v>
      </c>
      <c r="E35" s="8">
        <v>34561110</v>
      </c>
      <c r="F35" s="11">
        <v>9.83</v>
      </c>
    </row>
    <row r="36" spans="1:6" x14ac:dyDescent="0.25">
      <c r="A36" s="12" t="s">
        <v>50</v>
      </c>
      <c r="B36" s="12" t="s">
        <v>201</v>
      </c>
      <c r="C36" s="24">
        <v>4</v>
      </c>
      <c r="D36" s="12" t="s">
        <v>103</v>
      </c>
      <c r="E36" s="13">
        <v>18044234</v>
      </c>
      <c r="F36" s="14">
        <v>5.13</v>
      </c>
    </row>
    <row r="37" spans="1:6" x14ac:dyDescent="0.25">
      <c r="A37" s="7" t="s">
        <v>50</v>
      </c>
      <c r="B37" s="7" t="s">
        <v>201</v>
      </c>
      <c r="C37" s="23">
        <v>5</v>
      </c>
      <c r="D37" s="7" t="s">
        <v>105</v>
      </c>
      <c r="E37" s="8">
        <v>15819283</v>
      </c>
      <c r="F37" s="11">
        <v>4.5</v>
      </c>
    </row>
    <row r="38" spans="1:6" x14ac:dyDescent="0.25">
      <c r="A38" s="12" t="s">
        <v>50</v>
      </c>
      <c r="B38" s="12" t="s">
        <v>201</v>
      </c>
      <c r="C38" s="24">
        <v>6</v>
      </c>
      <c r="D38" s="12" t="s">
        <v>101</v>
      </c>
      <c r="E38" s="13">
        <v>13960222</v>
      </c>
      <c r="F38" s="14">
        <v>3.97</v>
      </c>
    </row>
    <row r="39" spans="1:6" x14ac:dyDescent="0.25">
      <c r="A39" s="7" t="s">
        <v>50</v>
      </c>
      <c r="B39" s="7" t="s">
        <v>201</v>
      </c>
      <c r="C39" s="23">
        <v>7</v>
      </c>
      <c r="D39" s="7" t="s">
        <v>111</v>
      </c>
      <c r="E39" s="8">
        <v>13776506</v>
      </c>
      <c r="F39" s="11">
        <v>3.92</v>
      </c>
    </row>
    <row r="40" spans="1:6" x14ac:dyDescent="0.25">
      <c r="A40" s="12" t="s">
        <v>50</v>
      </c>
      <c r="B40" s="12" t="s">
        <v>201</v>
      </c>
      <c r="C40" s="24">
        <v>8</v>
      </c>
      <c r="D40" s="12" t="s">
        <v>110</v>
      </c>
      <c r="E40" s="13">
        <v>10730389</v>
      </c>
      <c r="F40" s="14">
        <v>3.05</v>
      </c>
    </row>
    <row r="41" spans="1:6" x14ac:dyDescent="0.25">
      <c r="A41" s="7" t="s">
        <v>50</v>
      </c>
      <c r="B41" s="7" t="s">
        <v>201</v>
      </c>
      <c r="C41" s="23">
        <v>9</v>
      </c>
      <c r="D41" s="7" t="s">
        <v>114</v>
      </c>
      <c r="E41" s="8">
        <v>9461432</v>
      </c>
      <c r="F41" s="11">
        <v>2.69</v>
      </c>
    </row>
    <row r="42" spans="1:6" x14ac:dyDescent="0.25">
      <c r="A42" s="12" t="s">
        <v>50</v>
      </c>
      <c r="B42" s="12" t="s">
        <v>201</v>
      </c>
      <c r="C42" s="24">
        <v>10</v>
      </c>
      <c r="D42" s="12" t="s">
        <v>107</v>
      </c>
      <c r="E42" s="13">
        <v>9308708</v>
      </c>
      <c r="F42" s="14">
        <v>2.65</v>
      </c>
    </row>
    <row r="43" spans="1:6" x14ac:dyDescent="0.25">
      <c r="A43" s="7" t="s">
        <v>50</v>
      </c>
      <c r="B43" s="7" t="s">
        <v>201</v>
      </c>
      <c r="C43" s="23">
        <v>11</v>
      </c>
      <c r="D43" s="7" t="s">
        <v>115</v>
      </c>
      <c r="E43" s="8">
        <v>8959172</v>
      </c>
      <c r="F43" s="11">
        <v>2.5499999999999998</v>
      </c>
    </row>
    <row r="44" spans="1:6" x14ac:dyDescent="0.25">
      <c r="A44" s="12" t="s">
        <v>50</v>
      </c>
      <c r="B44" s="12" t="s">
        <v>201</v>
      </c>
      <c r="C44" s="24">
        <v>12</v>
      </c>
      <c r="D44" s="12" t="s">
        <v>102</v>
      </c>
      <c r="E44" s="13">
        <v>8350819</v>
      </c>
      <c r="F44" s="14">
        <v>2.37</v>
      </c>
    </row>
    <row r="45" spans="1:6" x14ac:dyDescent="0.25">
      <c r="A45" s="7" t="s">
        <v>50</v>
      </c>
      <c r="B45" s="7" t="s">
        <v>201</v>
      </c>
      <c r="C45" s="23">
        <v>13</v>
      </c>
      <c r="D45" s="7" t="s">
        <v>118</v>
      </c>
      <c r="E45" s="8">
        <v>7071133</v>
      </c>
      <c r="F45" s="11">
        <v>2.0099999999999998</v>
      </c>
    </row>
    <row r="46" spans="1:6" x14ac:dyDescent="0.25">
      <c r="A46" s="12" t="s">
        <v>50</v>
      </c>
      <c r="B46" s="12" t="s">
        <v>201</v>
      </c>
      <c r="C46" s="24">
        <v>14</v>
      </c>
      <c r="D46" s="12" t="s">
        <v>117</v>
      </c>
      <c r="E46" s="13">
        <v>6624803</v>
      </c>
      <c r="F46" s="14">
        <v>1.88</v>
      </c>
    </row>
    <row r="47" spans="1:6" x14ac:dyDescent="0.25">
      <c r="A47" s="7" t="s">
        <v>50</v>
      </c>
      <c r="B47" s="7" t="s">
        <v>201</v>
      </c>
      <c r="C47" s="23">
        <v>15</v>
      </c>
      <c r="D47" s="7" t="s">
        <v>221</v>
      </c>
      <c r="E47" s="8">
        <v>5642382</v>
      </c>
      <c r="F47" s="11">
        <v>1.6</v>
      </c>
    </row>
    <row r="48" spans="1:6" x14ac:dyDescent="0.25">
      <c r="A48" s="12" t="s">
        <v>51</v>
      </c>
      <c r="B48" s="12" t="s">
        <v>199</v>
      </c>
      <c r="C48" s="24">
        <v>1</v>
      </c>
      <c r="D48" s="12" t="s">
        <v>97</v>
      </c>
      <c r="E48" s="13">
        <v>114887986</v>
      </c>
      <c r="F48" s="14">
        <v>50.03</v>
      </c>
    </row>
    <row r="49" spans="1:6" x14ac:dyDescent="0.25">
      <c r="A49" s="7" t="s">
        <v>51</v>
      </c>
      <c r="B49" s="7" t="s">
        <v>199</v>
      </c>
      <c r="C49" s="23">
        <v>2</v>
      </c>
      <c r="D49" s="7" t="s">
        <v>101</v>
      </c>
      <c r="E49" s="8">
        <v>26256103</v>
      </c>
      <c r="F49" s="11">
        <v>11.43</v>
      </c>
    </row>
    <row r="50" spans="1:6" x14ac:dyDescent="0.25">
      <c r="A50" s="12" t="s">
        <v>51</v>
      </c>
      <c r="B50" s="12" t="s">
        <v>199</v>
      </c>
      <c r="C50" s="24">
        <v>3</v>
      </c>
      <c r="D50" s="12" t="s">
        <v>106</v>
      </c>
      <c r="E50" s="13">
        <v>21197164</v>
      </c>
      <c r="F50" s="14">
        <v>9.23</v>
      </c>
    </row>
    <row r="51" spans="1:6" x14ac:dyDescent="0.25">
      <c r="A51" s="7" t="s">
        <v>51</v>
      </c>
      <c r="B51" s="7" t="s">
        <v>199</v>
      </c>
      <c r="C51" s="23">
        <v>4</v>
      </c>
      <c r="D51" s="7" t="s">
        <v>113</v>
      </c>
      <c r="E51" s="8">
        <v>16965492</v>
      </c>
      <c r="F51" s="11">
        <v>7.39</v>
      </c>
    </row>
    <row r="52" spans="1:6" x14ac:dyDescent="0.25">
      <c r="A52" s="12" t="s">
        <v>51</v>
      </c>
      <c r="B52" s="12" t="s">
        <v>199</v>
      </c>
      <c r="C52" s="24">
        <v>5</v>
      </c>
      <c r="D52" s="12" t="s">
        <v>121</v>
      </c>
      <c r="E52" s="13">
        <v>10859246</v>
      </c>
      <c r="F52" s="14">
        <v>4.7300000000000004</v>
      </c>
    </row>
    <row r="53" spans="1:6" x14ac:dyDescent="0.25">
      <c r="A53" s="7" t="s">
        <v>51</v>
      </c>
      <c r="B53" s="7" t="s">
        <v>199</v>
      </c>
      <c r="C53" s="23">
        <v>6</v>
      </c>
      <c r="D53" s="7" t="s">
        <v>214</v>
      </c>
      <c r="E53" s="8">
        <v>6737898</v>
      </c>
      <c r="F53" s="11">
        <v>2.93</v>
      </c>
    </row>
    <row r="54" spans="1:6" x14ac:dyDescent="0.25">
      <c r="A54" s="12" t="s">
        <v>51</v>
      </c>
      <c r="B54" s="12" t="s">
        <v>199</v>
      </c>
      <c r="C54" s="24">
        <v>7</v>
      </c>
      <c r="D54" s="12" t="s">
        <v>110</v>
      </c>
      <c r="E54" s="13">
        <v>6304788</v>
      </c>
      <c r="F54" s="14">
        <v>2.75</v>
      </c>
    </row>
    <row r="55" spans="1:6" x14ac:dyDescent="0.25">
      <c r="A55" s="7" t="s">
        <v>51</v>
      </c>
      <c r="B55" s="7" t="s">
        <v>199</v>
      </c>
      <c r="C55" s="23">
        <v>8</v>
      </c>
      <c r="D55" s="7" t="s">
        <v>103</v>
      </c>
      <c r="E55" s="8">
        <v>5034725</v>
      </c>
      <c r="F55" s="11">
        <v>2.19</v>
      </c>
    </row>
    <row r="56" spans="1:6" x14ac:dyDescent="0.25">
      <c r="A56" s="12" t="s">
        <v>51</v>
      </c>
      <c r="B56" s="12" t="s">
        <v>199</v>
      </c>
      <c r="C56" s="24">
        <v>9</v>
      </c>
      <c r="D56" s="12" t="s">
        <v>104</v>
      </c>
      <c r="E56" s="13">
        <v>4867852</v>
      </c>
      <c r="F56" s="14">
        <v>2.12</v>
      </c>
    </row>
    <row r="57" spans="1:6" x14ac:dyDescent="0.25">
      <c r="A57" s="7" t="s">
        <v>51</v>
      </c>
      <c r="B57" s="7" t="s">
        <v>199</v>
      </c>
      <c r="C57" s="23">
        <v>10</v>
      </c>
      <c r="D57" s="7" t="s">
        <v>109</v>
      </c>
      <c r="E57" s="8">
        <v>4246871</v>
      </c>
      <c r="F57" s="11">
        <v>1.85</v>
      </c>
    </row>
    <row r="58" spans="1:6" x14ac:dyDescent="0.25">
      <c r="A58" s="12" t="s">
        <v>51</v>
      </c>
      <c r="B58" s="12" t="s">
        <v>199</v>
      </c>
      <c r="C58" s="24">
        <v>11</v>
      </c>
      <c r="D58" s="12" t="s">
        <v>222</v>
      </c>
      <c r="E58" s="13">
        <v>3653658</v>
      </c>
      <c r="F58" s="14">
        <v>1.59</v>
      </c>
    </row>
    <row r="59" spans="1:6" x14ac:dyDescent="0.25">
      <c r="A59" s="7" t="s">
        <v>51</v>
      </c>
      <c r="B59" s="7" t="s">
        <v>199</v>
      </c>
      <c r="C59" s="23">
        <v>12</v>
      </c>
      <c r="D59" s="7" t="s">
        <v>223</v>
      </c>
      <c r="E59" s="8">
        <v>3265308</v>
      </c>
      <c r="F59" s="11">
        <v>1.42</v>
      </c>
    </row>
    <row r="60" spans="1:6" x14ac:dyDescent="0.25">
      <c r="A60" s="12" t="s">
        <v>51</v>
      </c>
      <c r="B60" s="12" t="s">
        <v>199</v>
      </c>
      <c r="C60" s="24">
        <v>13</v>
      </c>
      <c r="D60" s="12" t="s">
        <v>99</v>
      </c>
      <c r="E60" s="13">
        <v>2629230</v>
      </c>
      <c r="F60" s="14">
        <v>1.1399999999999999</v>
      </c>
    </row>
    <row r="61" spans="1:6" x14ac:dyDescent="0.25">
      <c r="A61" s="7" t="s">
        <v>51</v>
      </c>
      <c r="B61" s="7" t="s">
        <v>199</v>
      </c>
      <c r="C61" s="23">
        <v>14</v>
      </c>
      <c r="D61" s="7" t="s">
        <v>100</v>
      </c>
      <c r="E61" s="8">
        <v>1587473</v>
      </c>
      <c r="F61" s="11">
        <v>0.69</v>
      </c>
    </row>
    <row r="62" spans="1:6" x14ac:dyDescent="0.25">
      <c r="A62" s="12" t="s">
        <v>51</v>
      </c>
      <c r="B62" s="12" t="s">
        <v>199</v>
      </c>
      <c r="C62" s="24">
        <v>15</v>
      </c>
      <c r="D62" s="12" t="s">
        <v>116</v>
      </c>
      <c r="E62" s="13">
        <v>1144807</v>
      </c>
      <c r="F62" s="14">
        <v>0.5</v>
      </c>
    </row>
    <row r="63" spans="1:6" x14ac:dyDescent="0.25">
      <c r="A63" s="7" t="s">
        <v>51</v>
      </c>
      <c r="B63" s="7" t="s">
        <v>200</v>
      </c>
      <c r="C63" s="23">
        <v>1</v>
      </c>
      <c r="D63" s="7" t="s">
        <v>97</v>
      </c>
      <c r="E63" s="8">
        <v>100771475</v>
      </c>
      <c r="F63" s="11">
        <v>43.98</v>
      </c>
    </row>
    <row r="64" spans="1:6" x14ac:dyDescent="0.25">
      <c r="A64" s="12" t="s">
        <v>51</v>
      </c>
      <c r="B64" s="12" t="s">
        <v>200</v>
      </c>
      <c r="C64" s="24">
        <v>2</v>
      </c>
      <c r="D64" s="12" t="s">
        <v>101</v>
      </c>
      <c r="E64" s="13">
        <v>23874606</v>
      </c>
      <c r="F64" s="14">
        <v>10.42</v>
      </c>
    </row>
    <row r="65" spans="1:6" x14ac:dyDescent="0.25">
      <c r="A65" s="7" t="s">
        <v>51</v>
      </c>
      <c r="B65" s="7" t="s">
        <v>200</v>
      </c>
      <c r="C65" s="23">
        <v>3</v>
      </c>
      <c r="D65" s="7" t="s">
        <v>106</v>
      </c>
      <c r="E65" s="8">
        <v>21880259</v>
      </c>
      <c r="F65" s="11">
        <v>9.5500000000000007</v>
      </c>
    </row>
    <row r="66" spans="1:6" x14ac:dyDescent="0.25">
      <c r="A66" s="12" t="s">
        <v>51</v>
      </c>
      <c r="B66" s="12" t="s">
        <v>200</v>
      </c>
      <c r="C66" s="24">
        <v>4</v>
      </c>
      <c r="D66" s="12" t="s">
        <v>113</v>
      </c>
      <c r="E66" s="13">
        <v>17855294</v>
      </c>
      <c r="F66" s="14">
        <v>7.79</v>
      </c>
    </row>
    <row r="67" spans="1:6" x14ac:dyDescent="0.25">
      <c r="A67" s="7" t="s">
        <v>51</v>
      </c>
      <c r="B67" s="7" t="s">
        <v>200</v>
      </c>
      <c r="C67" s="23">
        <v>5</v>
      </c>
      <c r="D67" s="7" t="s">
        <v>214</v>
      </c>
      <c r="E67" s="8">
        <v>12347907</v>
      </c>
      <c r="F67" s="11">
        <v>5.39</v>
      </c>
    </row>
    <row r="68" spans="1:6" x14ac:dyDescent="0.25">
      <c r="A68" s="12" t="s">
        <v>51</v>
      </c>
      <c r="B68" s="12" t="s">
        <v>200</v>
      </c>
      <c r="C68" s="24">
        <v>6</v>
      </c>
      <c r="D68" s="12" t="s">
        <v>121</v>
      </c>
      <c r="E68" s="13">
        <v>9920522</v>
      </c>
      <c r="F68" s="14">
        <v>4.33</v>
      </c>
    </row>
    <row r="69" spans="1:6" x14ac:dyDescent="0.25">
      <c r="A69" s="7" t="s">
        <v>51</v>
      </c>
      <c r="B69" s="7" t="s">
        <v>200</v>
      </c>
      <c r="C69" s="23">
        <v>7</v>
      </c>
      <c r="D69" s="7" t="s">
        <v>110</v>
      </c>
      <c r="E69" s="8">
        <v>8886333</v>
      </c>
      <c r="F69" s="11">
        <v>3.88</v>
      </c>
    </row>
    <row r="70" spans="1:6" x14ac:dyDescent="0.25">
      <c r="A70" s="12" t="s">
        <v>51</v>
      </c>
      <c r="B70" s="12" t="s">
        <v>200</v>
      </c>
      <c r="C70" s="24">
        <v>8</v>
      </c>
      <c r="D70" s="12" t="s">
        <v>99</v>
      </c>
      <c r="E70" s="13">
        <v>6514963</v>
      </c>
      <c r="F70" s="14">
        <v>2.84</v>
      </c>
    </row>
    <row r="71" spans="1:6" x14ac:dyDescent="0.25">
      <c r="A71" s="7" t="s">
        <v>51</v>
      </c>
      <c r="B71" s="7" t="s">
        <v>200</v>
      </c>
      <c r="C71" s="23">
        <v>9</v>
      </c>
      <c r="D71" s="7" t="s">
        <v>103</v>
      </c>
      <c r="E71" s="8">
        <v>6076222</v>
      </c>
      <c r="F71" s="11">
        <v>2.65</v>
      </c>
    </row>
    <row r="72" spans="1:6" x14ac:dyDescent="0.25">
      <c r="A72" s="12" t="s">
        <v>51</v>
      </c>
      <c r="B72" s="12" t="s">
        <v>200</v>
      </c>
      <c r="C72" s="24">
        <v>10</v>
      </c>
      <c r="D72" s="12" t="s">
        <v>104</v>
      </c>
      <c r="E72" s="13">
        <v>5340504</v>
      </c>
      <c r="F72" s="14">
        <v>2.33</v>
      </c>
    </row>
    <row r="73" spans="1:6" x14ac:dyDescent="0.25">
      <c r="A73" s="7" t="s">
        <v>51</v>
      </c>
      <c r="B73" s="7" t="s">
        <v>200</v>
      </c>
      <c r="C73" s="23">
        <v>11</v>
      </c>
      <c r="D73" s="7" t="s">
        <v>109</v>
      </c>
      <c r="E73" s="8">
        <v>4182070</v>
      </c>
      <c r="F73" s="11">
        <v>1.83</v>
      </c>
    </row>
    <row r="74" spans="1:6" x14ac:dyDescent="0.25">
      <c r="A74" s="12" t="s">
        <v>51</v>
      </c>
      <c r="B74" s="12" t="s">
        <v>200</v>
      </c>
      <c r="C74" s="24">
        <v>12</v>
      </c>
      <c r="D74" s="12" t="s">
        <v>222</v>
      </c>
      <c r="E74" s="13">
        <v>3473482</v>
      </c>
      <c r="F74" s="14">
        <v>1.52</v>
      </c>
    </row>
    <row r="75" spans="1:6" x14ac:dyDescent="0.25">
      <c r="A75" s="7" t="s">
        <v>51</v>
      </c>
      <c r="B75" s="7" t="s">
        <v>200</v>
      </c>
      <c r="C75" s="23">
        <v>13</v>
      </c>
      <c r="D75" s="7" t="s">
        <v>223</v>
      </c>
      <c r="E75" s="8">
        <v>3434426</v>
      </c>
      <c r="F75" s="11">
        <v>1.5</v>
      </c>
    </row>
    <row r="76" spans="1:6" x14ac:dyDescent="0.25">
      <c r="A76" s="12" t="s">
        <v>51</v>
      </c>
      <c r="B76" s="12" t="s">
        <v>200</v>
      </c>
      <c r="C76" s="24">
        <v>14</v>
      </c>
      <c r="D76" s="12" t="s">
        <v>100</v>
      </c>
      <c r="E76" s="13">
        <v>2349215</v>
      </c>
      <c r="F76" s="14">
        <v>1.03</v>
      </c>
    </row>
    <row r="77" spans="1:6" x14ac:dyDescent="0.25">
      <c r="A77" s="7" t="s">
        <v>51</v>
      </c>
      <c r="B77" s="7" t="s">
        <v>200</v>
      </c>
      <c r="C77" s="23">
        <v>15</v>
      </c>
      <c r="D77" s="7" t="s">
        <v>224</v>
      </c>
      <c r="E77" s="8">
        <v>2212705</v>
      </c>
      <c r="F77" s="11">
        <v>0.97</v>
      </c>
    </row>
    <row r="78" spans="1:6" x14ac:dyDescent="0.25">
      <c r="A78" s="12" t="s">
        <v>51</v>
      </c>
      <c r="B78" s="12" t="s">
        <v>201</v>
      </c>
      <c r="C78" s="24">
        <v>1</v>
      </c>
      <c r="D78" s="12" t="s">
        <v>97</v>
      </c>
      <c r="E78" s="13">
        <v>23535283</v>
      </c>
      <c r="F78" s="14">
        <v>34.1</v>
      </c>
    </row>
    <row r="79" spans="1:6" x14ac:dyDescent="0.25">
      <c r="A79" s="7" t="s">
        <v>51</v>
      </c>
      <c r="B79" s="7" t="s">
        <v>201</v>
      </c>
      <c r="C79" s="23">
        <v>2</v>
      </c>
      <c r="D79" s="7" t="s">
        <v>101</v>
      </c>
      <c r="E79" s="8">
        <v>9287333</v>
      </c>
      <c r="F79" s="11">
        <v>13.46</v>
      </c>
    </row>
    <row r="80" spans="1:6" x14ac:dyDescent="0.25">
      <c r="A80" s="12" t="s">
        <v>51</v>
      </c>
      <c r="B80" s="12" t="s">
        <v>201</v>
      </c>
      <c r="C80" s="24">
        <v>3</v>
      </c>
      <c r="D80" s="12" t="s">
        <v>106</v>
      </c>
      <c r="E80" s="13">
        <v>8568223</v>
      </c>
      <c r="F80" s="14">
        <v>12.41</v>
      </c>
    </row>
    <row r="81" spans="1:6" x14ac:dyDescent="0.25">
      <c r="A81" s="7" t="s">
        <v>51</v>
      </c>
      <c r="B81" s="7" t="s">
        <v>201</v>
      </c>
      <c r="C81" s="23">
        <v>4</v>
      </c>
      <c r="D81" s="7" t="s">
        <v>113</v>
      </c>
      <c r="E81" s="8">
        <v>6563715</v>
      </c>
      <c r="F81" s="11">
        <v>9.51</v>
      </c>
    </row>
    <row r="82" spans="1:6" x14ac:dyDescent="0.25">
      <c r="A82" s="12" t="s">
        <v>51</v>
      </c>
      <c r="B82" s="12" t="s">
        <v>201</v>
      </c>
      <c r="C82" s="24">
        <v>5</v>
      </c>
      <c r="D82" s="12" t="s">
        <v>121</v>
      </c>
      <c r="E82" s="13">
        <v>3736809</v>
      </c>
      <c r="F82" s="14">
        <v>5.41</v>
      </c>
    </row>
    <row r="83" spans="1:6" x14ac:dyDescent="0.25">
      <c r="A83" s="7" t="s">
        <v>51</v>
      </c>
      <c r="B83" s="7" t="s">
        <v>201</v>
      </c>
      <c r="C83" s="23">
        <v>6</v>
      </c>
      <c r="D83" s="7" t="s">
        <v>99</v>
      </c>
      <c r="E83" s="8">
        <v>3071691</v>
      </c>
      <c r="F83" s="11">
        <v>4.45</v>
      </c>
    </row>
    <row r="84" spans="1:6" x14ac:dyDescent="0.25">
      <c r="A84" s="12" t="s">
        <v>51</v>
      </c>
      <c r="B84" s="12" t="s">
        <v>201</v>
      </c>
      <c r="C84" s="24">
        <v>7</v>
      </c>
      <c r="D84" s="12" t="s">
        <v>110</v>
      </c>
      <c r="E84" s="13">
        <v>2971612</v>
      </c>
      <c r="F84" s="14">
        <v>4.3099999999999996</v>
      </c>
    </row>
    <row r="85" spans="1:6" x14ac:dyDescent="0.25">
      <c r="A85" s="7" t="s">
        <v>51</v>
      </c>
      <c r="B85" s="7" t="s">
        <v>201</v>
      </c>
      <c r="C85" s="23">
        <v>8</v>
      </c>
      <c r="D85" s="7" t="s">
        <v>103</v>
      </c>
      <c r="E85" s="8">
        <v>2229766</v>
      </c>
      <c r="F85" s="11">
        <v>3.23</v>
      </c>
    </row>
    <row r="86" spans="1:6" x14ac:dyDescent="0.25">
      <c r="A86" s="12" t="s">
        <v>51</v>
      </c>
      <c r="B86" s="12" t="s">
        <v>201</v>
      </c>
      <c r="C86" s="24">
        <v>9</v>
      </c>
      <c r="D86" s="12" t="s">
        <v>104</v>
      </c>
      <c r="E86" s="13">
        <v>2085767</v>
      </c>
      <c r="F86" s="14">
        <v>3.02</v>
      </c>
    </row>
    <row r="87" spans="1:6" x14ac:dyDescent="0.25">
      <c r="A87" s="7" t="s">
        <v>51</v>
      </c>
      <c r="B87" s="7" t="s">
        <v>201</v>
      </c>
      <c r="C87" s="23">
        <v>10</v>
      </c>
      <c r="D87" s="7" t="s">
        <v>109</v>
      </c>
      <c r="E87" s="8">
        <v>1848866</v>
      </c>
      <c r="F87" s="11">
        <v>2.68</v>
      </c>
    </row>
    <row r="88" spans="1:6" x14ac:dyDescent="0.25">
      <c r="A88" s="12" t="s">
        <v>51</v>
      </c>
      <c r="B88" s="12" t="s">
        <v>201</v>
      </c>
      <c r="C88" s="24">
        <v>11</v>
      </c>
      <c r="D88" s="12" t="s">
        <v>214</v>
      </c>
      <c r="E88" s="13">
        <v>1357232</v>
      </c>
      <c r="F88" s="14">
        <v>1.97</v>
      </c>
    </row>
    <row r="89" spans="1:6" x14ac:dyDescent="0.25">
      <c r="A89" s="7" t="s">
        <v>51</v>
      </c>
      <c r="B89" s="7" t="s">
        <v>201</v>
      </c>
      <c r="C89" s="23">
        <v>12</v>
      </c>
      <c r="D89" s="7" t="s">
        <v>222</v>
      </c>
      <c r="E89" s="8">
        <v>1103318</v>
      </c>
      <c r="F89" s="11">
        <v>1.6</v>
      </c>
    </row>
    <row r="90" spans="1:6" x14ac:dyDescent="0.25">
      <c r="A90" s="12" t="s">
        <v>51</v>
      </c>
      <c r="B90" s="12" t="s">
        <v>201</v>
      </c>
      <c r="C90" s="24">
        <v>13</v>
      </c>
      <c r="D90" s="12" t="s">
        <v>108</v>
      </c>
      <c r="E90" s="13">
        <v>971344</v>
      </c>
      <c r="F90" s="14">
        <v>1.41</v>
      </c>
    </row>
    <row r="91" spans="1:6" x14ac:dyDescent="0.25">
      <c r="A91" s="7" t="s">
        <v>51</v>
      </c>
      <c r="B91" s="7" t="s">
        <v>201</v>
      </c>
      <c r="C91" s="23">
        <v>14</v>
      </c>
      <c r="D91" s="7" t="s">
        <v>223</v>
      </c>
      <c r="E91" s="8">
        <v>911997</v>
      </c>
      <c r="F91" s="11">
        <v>1.32</v>
      </c>
    </row>
    <row r="92" spans="1:6" x14ac:dyDescent="0.25">
      <c r="A92" s="12" t="s">
        <v>51</v>
      </c>
      <c r="B92" s="12" t="s">
        <v>201</v>
      </c>
      <c r="C92" s="24">
        <v>15</v>
      </c>
      <c r="D92" s="12" t="s">
        <v>100</v>
      </c>
      <c r="E92" s="13">
        <v>774952</v>
      </c>
      <c r="F92" s="14">
        <v>1.1200000000000001</v>
      </c>
    </row>
    <row r="93" spans="1:6" x14ac:dyDescent="0.25">
      <c r="A93" s="7" t="s">
        <v>53</v>
      </c>
      <c r="B93" s="7" t="s">
        <v>199</v>
      </c>
      <c r="C93" s="23">
        <v>1</v>
      </c>
      <c r="D93" s="7" t="s">
        <v>99</v>
      </c>
      <c r="E93" s="8">
        <v>86092676</v>
      </c>
      <c r="F93" s="11">
        <v>30.51</v>
      </c>
    </row>
    <row r="94" spans="1:6" x14ac:dyDescent="0.25">
      <c r="A94" s="12" t="s">
        <v>53</v>
      </c>
      <c r="B94" s="12" t="s">
        <v>199</v>
      </c>
      <c r="C94" s="24">
        <v>2</v>
      </c>
      <c r="D94" s="12" t="s">
        <v>104</v>
      </c>
      <c r="E94" s="13">
        <v>34629834</v>
      </c>
      <c r="F94" s="14">
        <v>12.27</v>
      </c>
    </row>
    <row r="95" spans="1:6" x14ac:dyDescent="0.25">
      <c r="A95" s="7" t="s">
        <v>53</v>
      </c>
      <c r="B95" s="7" t="s">
        <v>199</v>
      </c>
      <c r="C95" s="23">
        <v>3</v>
      </c>
      <c r="D95" s="7" t="s">
        <v>98</v>
      </c>
      <c r="E95" s="8">
        <v>27885706</v>
      </c>
      <c r="F95" s="11">
        <v>9.8800000000000008</v>
      </c>
    </row>
    <row r="96" spans="1:6" x14ac:dyDescent="0.25">
      <c r="A96" s="12" t="s">
        <v>53</v>
      </c>
      <c r="B96" s="12" t="s">
        <v>199</v>
      </c>
      <c r="C96" s="24">
        <v>4</v>
      </c>
      <c r="D96" s="12" t="s">
        <v>97</v>
      </c>
      <c r="E96" s="13">
        <v>25186395</v>
      </c>
      <c r="F96" s="14">
        <v>8.93</v>
      </c>
    </row>
    <row r="97" spans="1:6" x14ac:dyDescent="0.25">
      <c r="A97" s="7" t="s">
        <v>53</v>
      </c>
      <c r="B97" s="7" t="s">
        <v>199</v>
      </c>
      <c r="C97" s="23">
        <v>5</v>
      </c>
      <c r="D97" s="7" t="s">
        <v>106</v>
      </c>
      <c r="E97" s="8">
        <v>22804860</v>
      </c>
      <c r="F97" s="11">
        <v>8.08</v>
      </c>
    </row>
    <row r="98" spans="1:6" x14ac:dyDescent="0.25">
      <c r="A98" s="12" t="s">
        <v>53</v>
      </c>
      <c r="B98" s="12" t="s">
        <v>199</v>
      </c>
      <c r="C98" s="24">
        <v>6</v>
      </c>
      <c r="D98" s="12" t="s">
        <v>109</v>
      </c>
      <c r="E98" s="13">
        <v>20601490</v>
      </c>
      <c r="F98" s="14">
        <v>7.3</v>
      </c>
    </row>
    <row r="99" spans="1:6" x14ac:dyDescent="0.25">
      <c r="A99" s="7" t="s">
        <v>53</v>
      </c>
      <c r="B99" s="7" t="s">
        <v>199</v>
      </c>
      <c r="C99" s="23">
        <v>7</v>
      </c>
      <c r="D99" s="7" t="s">
        <v>116</v>
      </c>
      <c r="E99" s="8">
        <v>13847976</v>
      </c>
      <c r="F99" s="11">
        <v>4.91</v>
      </c>
    </row>
    <row r="100" spans="1:6" x14ac:dyDescent="0.25">
      <c r="A100" s="12" t="s">
        <v>53</v>
      </c>
      <c r="B100" s="12" t="s">
        <v>199</v>
      </c>
      <c r="C100" s="24">
        <v>8</v>
      </c>
      <c r="D100" s="12" t="s">
        <v>105</v>
      </c>
      <c r="E100" s="13">
        <v>9173751</v>
      </c>
      <c r="F100" s="14">
        <v>3.25</v>
      </c>
    </row>
    <row r="101" spans="1:6" x14ac:dyDescent="0.25">
      <c r="A101" s="7" t="s">
        <v>53</v>
      </c>
      <c r="B101" s="7" t="s">
        <v>199</v>
      </c>
      <c r="C101" s="23">
        <v>9</v>
      </c>
      <c r="D101" s="7" t="s">
        <v>108</v>
      </c>
      <c r="E101" s="8">
        <v>8561898</v>
      </c>
      <c r="F101" s="11">
        <v>3.03</v>
      </c>
    </row>
    <row r="102" spans="1:6" x14ac:dyDescent="0.25">
      <c r="A102" s="12" t="s">
        <v>53</v>
      </c>
      <c r="B102" s="12" t="s">
        <v>199</v>
      </c>
      <c r="C102" s="24">
        <v>10</v>
      </c>
      <c r="D102" s="12" t="s">
        <v>102</v>
      </c>
      <c r="E102" s="13">
        <v>7761246</v>
      </c>
      <c r="F102" s="14">
        <v>2.75</v>
      </c>
    </row>
    <row r="103" spans="1:6" x14ac:dyDescent="0.25">
      <c r="A103" s="7" t="s">
        <v>53</v>
      </c>
      <c r="B103" s="7" t="s">
        <v>199</v>
      </c>
      <c r="C103" s="23">
        <v>11</v>
      </c>
      <c r="D103" s="7" t="s">
        <v>160</v>
      </c>
      <c r="E103" s="8">
        <v>6164458</v>
      </c>
      <c r="F103" s="11">
        <v>2.1800000000000002</v>
      </c>
    </row>
    <row r="104" spans="1:6" x14ac:dyDescent="0.25">
      <c r="A104" s="12" t="s">
        <v>53</v>
      </c>
      <c r="B104" s="12" t="s">
        <v>199</v>
      </c>
      <c r="C104" s="24">
        <v>12</v>
      </c>
      <c r="D104" s="12" t="s">
        <v>112</v>
      </c>
      <c r="E104" s="13">
        <v>5309468</v>
      </c>
      <c r="F104" s="14">
        <v>1.88</v>
      </c>
    </row>
    <row r="105" spans="1:6" x14ac:dyDescent="0.25">
      <c r="A105" s="7" t="s">
        <v>53</v>
      </c>
      <c r="B105" s="7" t="s">
        <v>199</v>
      </c>
      <c r="C105" s="23">
        <v>13</v>
      </c>
      <c r="D105" s="7" t="s">
        <v>119</v>
      </c>
      <c r="E105" s="8">
        <v>5121372</v>
      </c>
      <c r="F105" s="11">
        <v>1.81</v>
      </c>
    </row>
    <row r="106" spans="1:6" x14ac:dyDescent="0.25">
      <c r="A106" s="12" t="s">
        <v>53</v>
      </c>
      <c r="B106" s="12" t="s">
        <v>199</v>
      </c>
      <c r="C106" s="24">
        <v>14</v>
      </c>
      <c r="D106" s="12" t="s">
        <v>100</v>
      </c>
      <c r="E106" s="13">
        <v>4696412</v>
      </c>
      <c r="F106" s="14">
        <v>1.66</v>
      </c>
    </row>
    <row r="107" spans="1:6" x14ac:dyDescent="0.25">
      <c r="A107" s="7" t="s">
        <v>53</v>
      </c>
      <c r="B107" s="7" t="s">
        <v>199</v>
      </c>
      <c r="C107" s="23">
        <v>15</v>
      </c>
      <c r="D107" s="7" t="s">
        <v>225</v>
      </c>
      <c r="E107" s="8">
        <v>4358469</v>
      </c>
      <c r="F107" s="11">
        <v>1.54</v>
      </c>
    </row>
    <row r="108" spans="1:6" x14ac:dyDescent="0.25">
      <c r="A108" s="12" t="s">
        <v>53</v>
      </c>
      <c r="B108" s="12" t="s">
        <v>200</v>
      </c>
      <c r="C108" s="24">
        <v>1</v>
      </c>
      <c r="D108" s="12" t="s">
        <v>99</v>
      </c>
      <c r="E108" s="13">
        <v>101518662</v>
      </c>
      <c r="F108" s="14">
        <v>31.34</v>
      </c>
    </row>
    <row r="109" spans="1:6" x14ac:dyDescent="0.25">
      <c r="A109" s="7" t="s">
        <v>53</v>
      </c>
      <c r="B109" s="7" t="s">
        <v>200</v>
      </c>
      <c r="C109" s="23">
        <v>2</v>
      </c>
      <c r="D109" s="7" t="s">
        <v>104</v>
      </c>
      <c r="E109" s="8">
        <v>37865529</v>
      </c>
      <c r="F109" s="11">
        <v>11.69</v>
      </c>
    </row>
    <row r="110" spans="1:6" x14ac:dyDescent="0.25">
      <c r="A110" s="12" t="s">
        <v>53</v>
      </c>
      <c r="B110" s="12" t="s">
        <v>200</v>
      </c>
      <c r="C110" s="24">
        <v>3</v>
      </c>
      <c r="D110" s="12" t="s">
        <v>109</v>
      </c>
      <c r="E110" s="13">
        <v>29202628</v>
      </c>
      <c r="F110" s="14">
        <v>9.02</v>
      </c>
    </row>
    <row r="111" spans="1:6" x14ac:dyDescent="0.25">
      <c r="A111" s="7" t="s">
        <v>53</v>
      </c>
      <c r="B111" s="7" t="s">
        <v>200</v>
      </c>
      <c r="C111" s="23">
        <v>4</v>
      </c>
      <c r="D111" s="7" t="s">
        <v>98</v>
      </c>
      <c r="E111" s="8">
        <v>23686033</v>
      </c>
      <c r="F111" s="11">
        <v>7.31</v>
      </c>
    </row>
    <row r="112" spans="1:6" x14ac:dyDescent="0.25">
      <c r="A112" s="12" t="s">
        <v>53</v>
      </c>
      <c r="B112" s="12" t="s">
        <v>200</v>
      </c>
      <c r="C112" s="24">
        <v>5</v>
      </c>
      <c r="D112" s="12" t="s">
        <v>106</v>
      </c>
      <c r="E112" s="13">
        <v>23164116</v>
      </c>
      <c r="F112" s="14">
        <v>7.15</v>
      </c>
    </row>
    <row r="113" spans="1:6" x14ac:dyDescent="0.25">
      <c r="A113" s="7" t="s">
        <v>53</v>
      </c>
      <c r="B113" s="7" t="s">
        <v>200</v>
      </c>
      <c r="C113" s="23">
        <v>6</v>
      </c>
      <c r="D113" s="7" t="s">
        <v>97</v>
      </c>
      <c r="E113" s="8">
        <v>23149768</v>
      </c>
      <c r="F113" s="11">
        <v>7.15</v>
      </c>
    </row>
    <row r="114" spans="1:6" x14ac:dyDescent="0.25">
      <c r="A114" s="12" t="s">
        <v>53</v>
      </c>
      <c r="B114" s="12" t="s">
        <v>200</v>
      </c>
      <c r="C114" s="24">
        <v>7</v>
      </c>
      <c r="D114" s="12" t="s">
        <v>112</v>
      </c>
      <c r="E114" s="13">
        <v>19072749</v>
      </c>
      <c r="F114" s="14">
        <v>5.89</v>
      </c>
    </row>
    <row r="115" spans="1:6" x14ac:dyDescent="0.25">
      <c r="A115" s="7" t="s">
        <v>53</v>
      </c>
      <c r="B115" s="7" t="s">
        <v>200</v>
      </c>
      <c r="C115" s="23">
        <v>8</v>
      </c>
      <c r="D115" s="7" t="s">
        <v>116</v>
      </c>
      <c r="E115" s="8">
        <v>16258564</v>
      </c>
      <c r="F115" s="11">
        <v>5.0199999999999996</v>
      </c>
    </row>
    <row r="116" spans="1:6" x14ac:dyDescent="0.25">
      <c r="A116" s="12" t="s">
        <v>53</v>
      </c>
      <c r="B116" s="12" t="s">
        <v>200</v>
      </c>
      <c r="C116" s="24">
        <v>9</v>
      </c>
      <c r="D116" s="12" t="s">
        <v>108</v>
      </c>
      <c r="E116" s="13">
        <v>15047674</v>
      </c>
      <c r="F116" s="14">
        <v>4.6500000000000004</v>
      </c>
    </row>
    <row r="117" spans="1:6" x14ac:dyDescent="0.25">
      <c r="A117" s="7" t="s">
        <v>53</v>
      </c>
      <c r="B117" s="7" t="s">
        <v>200</v>
      </c>
      <c r="C117" s="23">
        <v>10</v>
      </c>
      <c r="D117" s="7" t="s">
        <v>102</v>
      </c>
      <c r="E117" s="8">
        <v>8647715</v>
      </c>
      <c r="F117" s="11">
        <v>2.67</v>
      </c>
    </row>
    <row r="118" spans="1:6" x14ac:dyDescent="0.25">
      <c r="A118" s="12" t="s">
        <v>53</v>
      </c>
      <c r="B118" s="12" t="s">
        <v>200</v>
      </c>
      <c r="C118" s="24">
        <v>11</v>
      </c>
      <c r="D118" s="12" t="s">
        <v>162</v>
      </c>
      <c r="E118" s="13">
        <v>7658807</v>
      </c>
      <c r="F118" s="14">
        <v>2.36</v>
      </c>
    </row>
    <row r="119" spans="1:6" x14ac:dyDescent="0.25">
      <c r="A119" s="7" t="s">
        <v>53</v>
      </c>
      <c r="B119" s="7" t="s">
        <v>200</v>
      </c>
      <c r="C119" s="23">
        <v>12</v>
      </c>
      <c r="D119" s="7" t="s">
        <v>105</v>
      </c>
      <c r="E119" s="8">
        <v>7109504</v>
      </c>
      <c r="F119" s="11">
        <v>2.19</v>
      </c>
    </row>
    <row r="120" spans="1:6" x14ac:dyDescent="0.25">
      <c r="A120" s="12" t="s">
        <v>53</v>
      </c>
      <c r="B120" s="12" t="s">
        <v>200</v>
      </c>
      <c r="C120" s="24">
        <v>13</v>
      </c>
      <c r="D120" s="12" t="s">
        <v>100</v>
      </c>
      <c r="E120" s="13">
        <v>4010573</v>
      </c>
      <c r="F120" s="14">
        <v>1.24</v>
      </c>
    </row>
    <row r="121" spans="1:6" x14ac:dyDescent="0.25">
      <c r="A121" s="7" t="s">
        <v>53</v>
      </c>
      <c r="B121" s="7" t="s">
        <v>200</v>
      </c>
      <c r="C121" s="23">
        <v>14</v>
      </c>
      <c r="D121" s="7" t="s">
        <v>119</v>
      </c>
      <c r="E121" s="8">
        <v>3938897</v>
      </c>
      <c r="F121" s="11">
        <v>1.22</v>
      </c>
    </row>
    <row r="122" spans="1:6" x14ac:dyDescent="0.25">
      <c r="A122" s="12" t="s">
        <v>53</v>
      </c>
      <c r="B122" s="12" t="s">
        <v>200</v>
      </c>
      <c r="C122" s="24">
        <v>15</v>
      </c>
      <c r="D122" s="12" t="s">
        <v>226</v>
      </c>
      <c r="E122" s="13">
        <v>3573649</v>
      </c>
      <c r="F122" s="14">
        <v>1.1000000000000001</v>
      </c>
    </row>
    <row r="123" spans="1:6" x14ac:dyDescent="0.25">
      <c r="A123" s="7" t="s">
        <v>53</v>
      </c>
      <c r="B123" s="7" t="s">
        <v>201</v>
      </c>
      <c r="C123" s="23">
        <v>1</v>
      </c>
      <c r="D123" s="7" t="s">
        <v>99</v>
      </c>
      <c r="E123" s="8">
        <v>40926578</v>
      </c>
      <c r="F123" s="11">
        <v>30.28</v>
      </c>
    </row>
    <row r="124" spans="1:6" x14ac:dyDescent="0.25">
      <c r="A124" s="12" t="s">
        <v>53</v>
      </c>
      <c r="B124" s="12" t="s">
        <v>201</v>
      </c>
      <c r="C124" s="24">
        <v>2</v>
      </c>
      <c r="D124" s="12" t="s">
        <v>104</v>
      </c>
      <c r="E124" s="13">
        <v>15690001</v>
      </c>
      <c r="F124" s="14">
        <v>11.61</v>
      </c>
    </row>
    <row r="125" spans="1:6" x14ac:dyDescent="0.25">
      <c r="A125" s="7" t="s">
        <v>53</v>
      </c>
      <c r="B125" s="7" t="s">
        <v>201</v>
      </c>
      <c r="C125" s="23">
        <v>3</v>
      </c>
      <c r="D125" s="7" t="s">
        <v>108</v>
      </c>
      <c r="E125" s="8">
        <v>12897277</v>
      </c>
      <c r="F125" s="11">
        <v>9.5399999999999991</v>
      </c>
    </row>
    <row r="126" spans="1:6" x14ac:dyDescent="0.25">
      <c r="A126" s="12" t="s">
        <v>53</v>
      </c>
      <c r="B126" s="12" t="s">
        <v>201</v>
      </c>
      <c r="C126" s="24">
        <v>4</v>
      </c>
      <c r="D126" s="12" t="s">
        <v>109</v>
      </c>
      <c r="E126" s="13">
        <v>10813779</v>
      </c>
      <c r="F126" s="14">
        <v>8</v>
      </c>
    </row>
    <row r="127" spans="1:6" x14ac:dyDescent="0.25">
      <c r="A127" s="7" t="s">
        <v>53</v>
      </c>
      <c r="B127" s="7" t="s">
        <v>201</v>
      </c>
      <c r="C127" s="23">
        <v>5</v>
      </c>
      <c r="D127" s="7" t="s">
        <v>112</v>
      </c>
      <c r="E127" s="8">
        <v>8599703</v>
      </c>
      <c r="F127" s="11">
        <v>6.36</v>
      </c>
    </row>
    <row r="128" spans="1:6" x14ac:dyDescent="0.25">
      <c r="A128" s="12" t="s">
        <v>53</v>
      </c>
      <c r="B128" s="12" t="s">
        <v>201</v>
      </c>
      <c r="C128" s="24">
        <v>6</v>
      </c>
      <c r="D128" s="12" t="s">
        <v>106</v>
      </c>
      <c r="E128" s="13">
        <v>8581197</v>
      </c>
      <c r="F128" s="14">
        <v>6.35</v>
      </c>
    </row>
    <row r="129" spans="1:6" x14ac:dyDescent="0.25">
      <c r="A129" s="7" t="s">
        <v>53</v>
      </c>
      <c r="B129" s="7" t="s">
        <v>201</v>
      </c>
      <c r="C129" s="23">
        <v>7</v>
      </c>
      <c r="D129" s="7" t="s">
        <v>98</v>
      </c>
      <c r="E129" s="8">
        <v>7807216</v>
      </c>
      <c r="F129" s="11">
        <v>5.78</v>
      </c>
    </row>
    <row r="130" spans="1:6" x14ac:dyDescent="0.25">
      <c r="A130" s="12" t="s">
        <v>53</v>
      </c>
      <c r="B130" s="12" t="s">
        <v>201</v>
      </c>
      <c r="C130" s="24">
        <v>8</v>
      </c>
      <c r="D130" s="12" t="s">
        <v>97</v>
      </c>
      <c r="E130" s="13">
        <v>6278232</v>
      </c>
      <c r="F130" s="14">
        <v>4.6399999999999997</v>
      </c>
    </row>
    <row r="131" spans="1:6" x14ac:dyDescent="0.25">
      <c r="A131" s="7" t="s">
        <v>53</v>
      </c>
      <c r="B131" s="7" t="s">
        <v>201</v>
      </c>
      <c r="C131" s="23">
        <v>9</v>
      </c>
      <c r="D131" s="7" t="s">
        <v>102</v>
      </c>
      <c r="E131" s="8">
        <v>6110623</v>
      </c>
      <c r="F131" s="11">
        <v>4.5199999999999996</v>
      </c>
    </row>
    <row r="132" spans="1:6" x14ac:dyDescent="0.25">
      <c r="A132" s="12" t="s">
        <v>53</v>
      </c>
      <c r="B132" s="12" t="s">
        <v>201</v>
      </c>
      <c r="C132" s="24">
        <v>10</v>
      </c>
      <c r="D132" s="12" t="s">
        <v>116</v>
      </c>
      <c r="E132" s="13">
        <v>5926425</v>
      </c>
      <c r="F132" s="14">
        <v>4.38</v>
      </c>
    </row>
    <row r="133" spans="1:6" x14ac:dyDescent="0.25">
      <c r="A133" s="7" t="s">
        <v>53</v>
      </c>
      <c r="B133" s="7" t="s">
        <v>201</v>
      </c>
      <c r="C133" s="23">
        <v>11</v>
      </c>
      <c r="D133" s="7" t="s">
        <v>162</v>
      </c>
      <c r="E133" s="8">
        <v>3233801</v>
      </c>
      <c r="F133" s="11">
        <v>2.39</v>
      </c>
    </row>
    <row r="134" spans="1:6" x14ac:dyDescent="0.25">
      <c r="A134" s="12" t="s">
        <v>53</v>
      </c>
      <c r="B134" s="12" t="s">
        <v>201</v>
      </c>
      <c r="C134" s="24">
        <v>12</v>
      </c>
      <c r="D134" s="12" t="s">
        <v>160</v>
      </c>
      <c r="E134" s="13">
        <v>2525494</v>
      </c>
      <c r="F134" s="14">
        <v>1.87</v>
      </c>
    </row>
    <row r="135" spans="1:6" x14ac:dyDescent="0.25">
      <c r="A135" s="7" t="s">
        <v>53</v>
      </c>
      <c r="B135" s="7" t="s">
        <v>201</v>
      </c>
      <c r="C135" s="23">
        <v>13</v>
      </c>
      <c r="D135" s="7" t="s">
        <v>105</v>
      </c>
      <c r="E135" s="8">
        <v>2476322</v>
      </c>
      <c r="F135" s="11">
        <v>1.83</v>
      </c>
    </row>
    <row r="136" spans="1:6" x14ac:dyDescent="0.25">
      <c r="A136" s="12" t="s">
        <v>53</v>
      </c>
      <c r="B136" s="12" t="s">
        <v>201</v>
      </c>
      <c r="C136" s="24">
        <v>14</v>
      </c>
      <c r="D136" s="12" t="s">
        <v>100</v>
      </c>
      <c r="E136" s="13">
        <v>1663187</v>
      </c>
      <c r="F136" s="14">
        <v>1.23</v>
      </c>
    </row>
    <row r="137" spans="1:6" x14ac:dyDescent="0.25">
      <c r="A137" s="7" t="s">
        <v>53</v>
      </c>
      <c r="B137" s="7" t="s">
        <v>201</v>
      </c>
      <c r="C137" s="23">
        <v>15</v>
      </c>
      <c r="D137" s="7" t="s">
        <v>107</v>
      </c>
      <c r="E137" s="8">
        <v>1634493</v>
      </c>
      <c r="F137" s="11">
        <v>1.21</v>
      </c>
    </row>
    <row r="138" spans="1:6" x14ac:dyDescent="0.25">
      <c r="A138" s="12" t="s">
        <v>54</v>
      </c>
      <c r="B138" s="12" t="s">
        <v>199</v>
      </c>
      <c r="C138" s="24">
        <v>1</v>
      </c>
      <c r="D138" s="12" t="s">
        <v>102</v>
      </c>
      <c r="E138" s="13">
        <v>25526429</v>
      </c>
      <c r="F138" s="14">
        <v>50.75</v>
      </c>
    </row>
    <row r="139" spans="1:6" x14ac:dyDescent="0.25">
      <c r="A139" s="7" t="s">
        <v>54</v>
      </c>
      <c r="B139" s="7" t="s">
        <v>199</v>
      </c>
      <c r="C139" s="23">
        <v>2</v>
      </c>
      <c r="D139" s="7" t="s">
        <v>107</v>
      </c>
      <c r="E139" s="8">
        <v>19815829</v>
      </c>
      <c r="F139" s="11">
        <v>39.4</v>
      </c>
    </row>
    <row r="140" spans="1:6" x14ac:dyDescent="0.25">
      <c r="A140" s="12" t="s">
        <v>54</v>
      </c>
      <c r="B140" s="12" t="s">
        <v>199</v>
      </c>
      <c r="C140" s="24">
        <v>3</v>
      </c>
      <c r="D140" s="12" t="s">
        <v>97</v>
      </c>
      <c r="E140" s="13">
        <v>1839639</v>
      </c>
      <c r="F140" s="14">
        <v>3.66</v>
      </c>
    </row>
    <row r="141" spans="1:6" x14ac:dyDescent="0.25">
      <c r="A141" s="7" t="s">
        <v>54</v>
      </c>
      <c r="B141" s="7" t="s">
        <v>199</v>
      </c>
      <c r="C141" s="23">
        <v>4</v>
      </c>
      <c r="D141" s="7" t="s">
        <v>110</v>
      </c>
      <c r="E141" s="8">
        <v>1372789</v>
      </c>
      <c r="F141" s="11">
        <v>2.73</v>
      </c>
    </row>
    <row r="142" spans="1:6" x14ac:dyDescent="0.25">
      <c r="A142" s="12" t="s">
        <v>54</v>
      </c>
      <c r="B142" s="12" t="s">
        <v>199</v>
      </c>
      <c r="C142" s="24">
        <v>5</v>
      </c>
      <c r="D142" s="12" t="s">
        <v>160</v>
      </c>
      <c r="E142" s="13">
        <v>620044</v>
      </c>
      <c r="F142" s="14">
        <v>1.23</v>
      </c>
    </row>
    <row r="143" spans="1:6" x14ac:dyDescent="0.25">
      <c r="A143" s="7" t="s">
        <v>54</v>
      </c>
      <c r="B143" s="7" t="s">
        <v>199</v>
      </c>
      <c r="C143" s="23">
        <v>6</v>
      </c>
      <c r="D143" s="7" t="s">
        <v>162</v>
      </c>
      <c r="E143" s="8">
        <v>227891</v>
      </c>
      <c r="F143" s="11">
        <v>0.45</v>
      </c>
    </row>
    <row r="144" spans="1:6" x14ac:dyDescent="0.25">
      <c r="A144" s="12" t="s">
        <v>54</v>
      </c>
      <c r="B144" s="12" t="s">
        <v>199</v>
      </c>
      <c r="C144" s="24">
        <v>7</v>
      </c>
      <c r="D144" s="12" t="s">
        <v>227</v>
      </c>
      <c r="E144" s="13">
        <v>143257</v>
      </c>
      <c r="F144" s="14">
        <v>0.28000000000000003</v>
      </c>
    </row>
    <row r="145" spans="1:6" x14ac:dyDescent="0.25">
      <c r="A145" s="7" t="s">
        <v>54</v>
      </c>
      <c r="B145" s="7" t="s">
        <v>199</v>
      </c>
      <c r="C145" s="23">
        <v>8</v>
      </c>
      <c r="D145" s="7" t="s">
        <v>228</v>
      </c>
      <c r="E145" s="8">
        <v>138043</v>
      </c>
      <c r="F145" s="11">
        <v>0.27</v>
      </c>
    </row>
    <row r="146" spans="1:6" x14ac:dyDescent="0.25">
      <c r="A146" s="12" t="s">
        <v>54</v>
      </c>
      <c r="B146" s="12" t="s">
        <v>199</v>
      </c>
      <c r="C146" s="24">
        <v>9</v>
      </c>
      <c r="D146" s="12" t="s">
        <v>229</v>
      </c>
      <c r="E146" s="13">
        <v>117991</v>
      </c>
      <c r="F146" s="14">
        <v>0.23</v>
      </c>
    </row>
    <row r="147" spans="1:6" x14ac:dyDescent="0.25">
      <c r="A147" s="7" t="s">
        <v>54</v>
      </c>
      <c r="B147" s="7" t="s">
        <v>199</v>
      </c>
      <c r="C147" s="23">
        <v>10</v>
      </c>
      <c r="D147" s="7" t="s">
        <v>98</v>
      </c>
      <c r="E147" s="8">
        <v>107460</v>
      </c>
      <c r="F147" s="11">
        <v>0.21</v>
      </c>
    </row>
    <row r="148" spans="1:6" x14ac:dyDescent="0.25">
      <c r="A148" s="12" t="s">
        <v>54</v>
      </c>
      <c r="B148" s="12" t="s">
        <v>199</v>
      </c>
      <c r="C148" s="24">
        <v>11</v>
      </c>
      <c r="D148" s="12" t="s">
        <v>230</v>
      </c>
      <c r="E148" s="13">
        <v>100145</v>
      </c>
      <c r="F148" s="14">
        <v>0.2</v>
      </c>
    </row>
    <row r="149" spans="1:6" x14ac:dyDescent="0.25">
      <c r="A149" s="7" t="s">
        <v>54</v>
      </c>
      <c r="B149" s="7" t="s">
        <v>199</v>
      </c>
      <c r="C149" s="23">
        <v>12</v>
      </c>
      <c r="D149" s="7" t="s">
        <v>120</v>
      </c>
      <c r="E149" s="8">
        <v>93183</v>
      </c>
      <c r="F149" s="11">
        <v>0.19</v>
      </c>
    </row>
    <row r="150" spans="1:6" x14ac:dyDescent="0.25">
      <c r="A150" s="12" t="s">
        <v>54</v>
      </c>
      <c r="B150" s="12" t="s">
        <v>199</v>
      </c>
      <c r="C150" s="24">
        <v>13</v>
      </c>
      <c r="D150" s="12" t="s">
        <v>231</v>
      </c>
      <c r="E150" s="13">
        <v>77754</v>
      </c>
      <c r="F150" s="14">
        <v>0.15</v>
      </c>
    </row>
    <row r="151" spans="1:6" x14ac:dyDescent="0.25">
      <c r="A151" s="7" t="s">
        <v>54</v>
      </c>
      <c r="B151" s="7" t="s">
        <v>199</v>
      </c>
      <c r="C151" s="23">
        <v>14</v>
      </c>
      <c r="D151" s="7" t="s">
        <v>108</v>
      </c>
      <c r="E151" s="8">
        <v>59637</v>
      </c>
      <c r="F151" s="11">
        <v>0.12</v>
      </c>
    </row>
    <row r="152" spans="1:6" x14ac:dyDescent="0.25">
      <c r="A152" s="12" t="s">
        <v>54</v>
      </c>
      <c r="B152" s="12" t="s">
        <v>199</v>
      </c>
      <c r="C152" s="24">
        <v>15</v>
      </c>
      <c r="D152" s="12" t="s">
        <v>232</v>
      </c>
      <c r="E152" s="13">
        <v>57544</v>
      </c>
      <c r="F152" s="14">
        <v>0.11</v>
      </c>
    </row>
    <row r="153" spans="1:6" x14ac:dyDescent="0.25">
      <c r="A153" s="7" t="s">
        <v>54</v>
      </c>
      <c r="B153" s="7" t="s">
        <v>200</v>
      </c>
      <c r="C153" s="23">
        <v>1</v>
      </c>
      <c r="D153" s="7" t="s">
        <v>107</v>
      </c>
      <c r="E153" s="8">
        <v>22985441</v>
      </c>
      <c r="F153" s="11">
        <v>47.23</v>
      </c>
    </row>
    <row r="154" spans="1:6" x14ac:dyDescent="0.25">
      <c r="A154" s="12" t="s">
        <v>54</v>
      </c>
      <c r="B154" s="12" t="s">
        <v>200</v>
      </c>
      <c r="C154" s="24">
        <v>2</v>
      </c>
      <c r="D154" s="12" t="s">
        <v>102</v>
      </c>
      <c r="E154" s="13">
        <v>21110946</v>
      </c>
      <c r="F154" s="14">
        <v>43.38</v>
      </c>
    </row>
    <row r="155" spans="1:6" x14ac:dyDescent="0.25">
      <c r="A155" s="7" t="s">
        <v>54</v>
      </c>
      <c r="B155" s="7" t="s">
        <v>200</v>
      </c>
      <c r="C155" s="23">
        <v>3</v>
      </c>
      <c r="D155" s="7" t="s">
        <v>97</v>
      </c>
      <c r="E155" s="8">
        <v>1358294</v>
      </c>
      <c r="F155" s="11">
        <v>2.79</v>
      </c>
    </row>
    <row r="156" spans="1:6" x14ac:dyDescent="0.25">
      <c r="A156" s="12" t="s">
        <v>54</v>
      </c>
      <c r="B156" s="12" t="s">
        <v>200</v>
      </c>
      <c r="C156" s="24">
        <v>4</v>
      </c>
      <c r="D156" s="12" t="s">
        <v>110</v>
      </c>
      <c r="E156" s="13">
        <v>1031778</v>
      </c>
      <c r="F156" s="14">
        <v>2.12</v>
      </c>
    </row>
    <row r="157" spans="1:6" x14ac:dyDescent="0.25">
      <c r="A157" s="7" t="s">
        <v>54</v>
      </c>
      <c r="B157" s="7" t="s">
        <v>200</v>
      </c>
      <c r="C157" s="23">
        <v>5</v>
      </c>
      <c r="D157" s="7" t="s">
        <v>160</v>
      </c>
      <c r="E157" s="8">
        <v>635315</v>
      </c>
      <c r="F157" s="11">
        <v>1.31</v>
      </c>
    </row>
    <row r="158" spans="1:6" x14ac:dyDescent="0.25">
      <c r="A158" s="12" t="s">
        <v>54</v>
      </c>
      <c r="B158" s="12" t="s">
        <v>200</v>
      </c>
      <c r="C158" s="24">
        <v>6</v>
      </c>
      <c r="D158" s="12" t="s">
        <v>109</v>
      </c>
      <c r="E158" s="13">
        <v>343293</v>
      </c>
      <c r="F158" s="14">
        <v>0.71</v>
      </c>
    </row>
    <row r="159" spans="1:6" x14ac:dyDescent="0.25">
      <c r="A159" s="7" t="s">
        <v>54</v>
      </c>
      <c r="B159" s="7" t="s">
        <v>200</v>
      </c>
      <c r="C159" s="23">
        <v>7</v>
      </c>
      <c r="D159" s="7" t="s">
        <v>114</v>
      </c>
      <c r="E159" s="8">
        <v>233222</v>
      </c>
      <c r="F159" s="11">
        <v>0.48</v>
      </c>
    </row>
    <row r="160" spans="1:6" x14ac:dyDescent="0.25">
      <c r="A160" s="12" t="s">
        <v>54</v>
      </c>
      <c r="B160" s="12" t="s">
        <v>200</v>
      </c>
      <c r="C160" s="24">
        <v>8</v>
      </c>
      <c r="D160" s="12" t="s">
        <v>230</v>
      </c>
      <c r="E160" s="13">
        <v>205534</v>
      </c>
      <c r="F160" s="14">
        <v>0.42</v>
      </c>
    </row>
    <row r="161" spans="1:6" x14ac:dyDescent="0.25">
      <c r="A161" s="7" t="s">
        <v>54</v>
      </c>
      <c r="B161" s="7" t="s">
        <v>200</v>
      </c>
      <c r="C161" s="23">
        <v>9</v>
      </c>
      <c r="D161" s="7" t="s">
        <v>98</v>
      </c>
      <c r="E161" s="8">
        <v>201540</v>
      </c>
      <c r="F161" s="11">
        <v>0.41</v>
      </c>
    </row>
    <row r="162" spans="1:6" x14ac:dyDescent="0.25">
      <c r="A162" s="12" t="s">
        <v>54</v>
      </c>
      <c r="B162" s="12" t="s">
        <v>200</v>
      </c>
      <c r="C162" s="24">
        <v>10</v>
      </c>
      <c r="D162" s="12" t="s">
        <v>162</v>
      </c>
      <c r="E162" s="13">
        <v>142120</v>
      </c>
      <c r="F162" s="14">
        <v>0.28999999999999998</v>
      </c>
    </row>
    <row r="163" spans="1:6" x14ac:dyDescent="0.25">
      <c r="A163" s="7" t="s">
        <v>54</v>
      </c>
      <c r="B163" s="7" t="s">
        <v>200</v>
      </c>
      <c r="C163" s="23">
        <v>11</v>
      </c>
      <c r="D163" s="7" t="s">
        <v>228</v>
      </c>
      <c r="E163" s="8">
        <v>125901</v>
      </c>
      <c r="F163" s="11">
        <v>0.26</v>
      </c>
    </row>
    <row r="164" spans="1:6" x14ac:dyDescent="0.25">
      <c r="A164" s="12" t="s">
        <v>54</v>
      </c>
      <c r="B164" s="12" t="s">
        <v>200</v>
      </c>
      <c r="C164" s="24">
        <v>12</v>
      </c>
      <c r="D164" s="12" t="s">
        <v>120</v>
      </c>
      <c r="E164" s="13">
        <v>98152</v>
      </c>
      <c r="F164" s="14">
        <v>0.2</v>
      </c>
    </row>
    <row r="165" spans="1:6" x14ac:dyDescent="0.25">
      <c r="A165" s="7" t="s">
        <v>54</v>
      </c>
      <c r="B165" s="7" t="s">
        <v>200</v>
      </c>
      <c r="C165" s="23">
        <v>13</v>
      </c>
      <c r="D165" s="7" t="s">
        <v>231</v>
      </c>
      <c r="E165" s="8">
        <v>73425</v>
      </c>
      <c r="F165" s="11">
        <v>0.15</v>
      </c>
    </row>
    <row r="166" spans="1:6" x14ac:dyDescent="0.25">
      <c r="A166" s="12" t="s">
        <v>54</v>
      </c>
      <c r="B166" s="12" t="s">
        <v>200</v>
      </c>
      <c r="C166" s="24">
        <v>14</v>
      </c>
      <c r="D166" s="12" t="s">
        <v>232</v>
      </c>
      <c r="E166" s="13">
        <v>68624</v>
      </c>
      <c r="F166" s="14">
        <v>0.14000000000000001</v>
      </c>
    </row>
    <row r="167" spans="1:6" x14ac:dyDescent="0.25">
      <c r="A167" s="7" t="s">
        <v>54</v>
      </c>
      <c r="B167" s="7" t="s">
        <v>200</v>
      </c>
      <c r="C167" s="23">
        <v>15</v>
      </c>
      <c r="D167" s="7" t="s">
        <v>108</v>
      </c>
      <c r="E167" s="8">
        <v>54478</v>
      </c>
      <c r="F167" s="11">
        <v>0.11</v>
      </c>
    </row>
    <row r="168" spans="1:6" x14ac:dyDescent="0.25">
      <c r="A168" s="12" t="s">
        <v>54</v>
      </c>
      <c r="B168" s="12" t="s">
        <v>201</v>
      </c>
      <c r="C168" s="24">
        <v>1</v>
      </c>
      <c r="D168" s="12" t="s">
        <v>102</v>
      </c>
      <c r="E168" s="13">
        <v>7830906</v>
      </c>
      <c r="F168" s="14">
        <v>46.96</v>
      </c>
    </row>
    <row r="169" spans="1:6" x14ac:dyDescent="0.25">
      <c r="A169" s="7" t="s">
        <v>54</v>
      </c>
      <c r="B169" s="7" t="s">
        <v>201</v>
      </c>
      <c r="C169" s="23">
        <v>2</v>
      </c>
      <c r="D169" s="7" t="s">
        <v>107</v>
      </c>
      <c r="E169" s="8">
        <v>6338519</v>
      </c>
      <c r="F169" s="11">
        <v>38.01</v>
      </c>
    </row>
    <row r="170" spans="1:6" x14ac:dyDescent="0.25">
      <c r="A170" s="12" t="s">
        <v>54</v>
      </c>
      <c r="B170" s="12" t="s">
        <v>201</v>
      </c>
      <c r="C170" s="24">
        <v>3</v>
      </c>
      <c r="D170" s="12" t="s">
        <v>97</v>
      </c>
      <c r="E170" s="13">
        <v>665919</v>
      </c>
      <c r="F170" s="14">
        <v>3.99</v>
      </c>
    </row>
    <row r="171" spans="1:6" x14ac:dyDescent="0.25">
      <c r="A171" s="7" t="s">
        <v>54</v>
      </c>
      <c r="B171" s="7" t="s">
        <v>201</v>
      </c>
      <c r="C171" s="23">
        <v>4</v>
      </c>
      <c r="D171" s="7" t="s">
        <v>109</v>
      </c>
      <c r="E171" s="8">
        <v>421923</v>
      </c>
      <c r="F171" s="11">
        <v>2.5299999999999998</v>
      </c>
    </row>
    <row r="172" spans="1:6" x14ac:dyDescent="0.25">
      <c r="A172" s="12" t="s">
        <v>54</v>
      </c>
      <c r="B172" s="12" t="s">
        <v>201</v>
      </c>
      <c r="C172" s="24">
        <v>5</v>
      </c>
      <c r="D172" s="12" t="s">
        <v>110</v>
      </c>
      <c r="E172" s="13">
        <v>375884</v>
      </c>
      <c r="F172" s="14">
        <v>2.25</v>
      </c>
    </row>
    <row r="173" spans="1:6" x14ac:dyDescent="0.25">
      <c r="A173" s="7" t="s">
        <v>54</v>
      </c>
      <c r="B173" s="7" t="s">
        <v>201</v>
      </c>
      <c r="C173" s="23">
        <v>6</v>
      </c>
      <c r="D173" s="7" t="s">
        <v>160</v>
      </c>
      <c r="E173" s="8">
        <v>274620</v>
      </c>
      <c r="F173" s="11">
        <v>1.65</v>
      </c>
    </row>
    <row r="174" spans="1:6" x14ac:dyDescent="0.25">
      <c r="A174" s="12" t="s">
        <v>54</v>
      </c>
      <c r="B174" s="12" t="s">
        <v>201</v>
      </c>
      <c r="C174" s="24">
        <v>7</v>
      </c>
      <c r="D174" s="12" t="s">
        <v>98</v>
      </c>
      <c r="E174" s="13">
        <v>149332</v>
      </c>
      <c r="F174" s="14">
        <v>0.9</v>
      </c>
    </row>
    <row r="175" spans="1:6" x14ac:dyDescent="0.25">
      <c r="A175" s="7" t="s">
        <v>54</v>
      </c>
      <c r="B175" s="7" t="s">
        <v>201</v>
      </c>
      <c r="C175" s="23">
        <v>8</v>
      </c>
      <c r="D175" s="7" t="s">
        <v>161</v>
      </c>
      <c r="E175" s="8">
        <v>124897</v>
      </c>
      <c r="F175" s="11">
        <v>0.75</v>
      </c>
    </row>
    <row r="176" spans="1:6" x14ac:dyDescent="0.25">
      <c r="A176" s="12" t="s">
        <v>54</v>
      </c>
      <c r="B176" s="12" t="s">
        <v>201</v>
      </c>
      <c r="C176" s="24">
        <v>9</v>
      </c>
      <c r="D176" s="12" t="s">
        <v>108</v>
      </c>
      <c r="E176" s="13">
        <v>102902</v>
      </c>
      <c r="F176" s="14">
        <v>0.62</v>
      </c>
    </row>
    <row r="177" spans="1:6" x14ac:dyDescent="0.25">
      <c r="A177" s="7" t="s">
        <v>54</v>
      </c>
      <c r="B177" s="7" t="s">
        <v>201</v>
      </c>
      <c r="C177" s="23">
        <v>10</v>
      </c>
      <c r="D177" s="7" t="s">
        <v>120</v>
      </c>
      <c r="E177" s="8">
        <v>86602</v>
      </c>
      <c r="F177" s="11">
        <v>0.52</v>
      </c>
    </row>
    <row r="178" spans="1:6" x14ac:dyDescent="0.25">
      <c r="A178" s="12" t="s">
        <v>54</v>
      </c>
      <c r="B178" s="12" t="s">
        <v>201</v>
      </c>
      <c r="C178" s="24">
        <v>11</v>
      </c>
      <c r="D178" s="12" t="s">
        <v>121</v>
      </c>
      <c r="E178" s="13">
        <v>85001</v>
      </c>
      <c r="F178" s="14">
        <v>0.51</v>
      </c>
    </row>
    <row r="179" spans="1:6" x14ac:dyDescent="0.25">
      <c r="A179" s="7" t="s">
        <v>54</v>
      </c>
      <c r="B179" s="7" t="s">
        <v>201</v>
      </c>
      <c r="C179" s="23">
        <v>12</v>
      </c>
      <c r="D179" s="7" t="s">
        <v>114</v>
      </c>
      <c r="E179" s="8">
        <v>74828</v>
      </c>
      <c r="F179" s="11">
        <v>0.45</v>
      </c>
    </row>
    <row r="180" spans="1:6" x14ac:dyDescent="0.25">
      <c r="A180" s="12" t="s">
        <v>54</v>
      </c>
      <c r="B180" s="12" t="s">
        <v>201</v>
      </c>
      <c r="C180" s="24">
        <v>13</v>
      </c>
      <c r="D180" s="12" t="s">
        <v>233</v>
      </c>
      <c r="E180" s="13">
        <v>52570</v>
      </c>
      <c r="F180" s="14">
        <v>0.32</v>
      </c>
    </row>
    <row r="181" spans="1:6" x14ac:dyDescent="0.25">
      <c r="A181" s="7" t="s">
        <v>54</v>
      </c>
      <c r="B181" s="7" t="s">
        <v>201</v>
      </c>
      <c r="C181" s="23">
        <v>14</v>
      </c>
      <c r="D181" s="7" t="s">
        <v>225</v>
      </c>
      <c r="E181" s="8">
        <v>47612</v>
      </c>
      <c r="F181" s="11">
        <v>0.28999999999999998</v>
      </c>
    </row>
    <row r="182" spans="1:6" x14ac:dyDescent="0.25">
      <c r="A182" s="12" t="s">
        <v>54</v>
      </c>
      <c r="B182" s="12" t="s">
        <v>201</v>
      </c>
      <c r="C182" s="24">
        <v>15</v>
      </c>
      <c r="D182" s="12" t="s">
        <v>232</v>
      </c>
      <c r="E182" s="13">
        <v>43319</v>
      </c>
      <c r="F182" s="14">
        <v>0.26</v>
      </c>
    </row>
    <row r="183" spans="1:6" x14ac:dyDescent="0.25">
      <c r="A183" s="7" t="s">
        <v>55</v>
      </c>
      <c r="B183" s="7" t="s">
        <v>199</v>
      </c>
      <c r="C183" s="23">
        <v>1</v>
      </c>
      <c r="D183" s="7" t="s">
        <v>97</v>
      </c>
      <c r="E183" s="8">
        <v>792734260</v>
      </c>
      <c r="F183" s="11">
        <v>50.85</v>
      </c>
    </row>
    <row r="184" spans="1:6" x14ac:dyDescent="0.25">
      <c r="A184" s="12" t="s">
        <v>55</v>
      </c>
      <c r="B184" s="12" t="s">
        <v>199</v>
      </c>
      <c r="C184" s="24">
        <v>2</v>
      </c>
      <c r="D184" s="12" t="s">
        <v>98</v>
      </c>
      <c r="E184" s="13">
        <v>170516788</v>
      </c>
      <c r="F184" s="14">
        <v>10.94</v>
      </c>
    </row>
    <row r="185" spans="1:6" x14ac:dyDescent="0.25">
      <c r="A185" s="7" t="s">
        <v>55</v>
      </c>
      <c r="B185" s="7" t="s">
        <v>199</v>
      </c>
      <c r="C185" s="23">
        <v>3</v>
      </c>
      <c r="D185" s="7" t="s">
        <v>102</v>
      </c>
      <c r="E185" s="8">
        <v>90551205</v>
      </c>
      <c r="F185" s="11">
        <v>5.81</v>
      </c>
    </row>
    <row r="186" spans="1:6" x14ac:dyDescent="0.25">
      <c r="A186" s="12" t="s">
        <v>55</v>
      </c>
      <c r="B186" s="12" t="s">
        <v>199</v>
      </c>
      <c r="C186" s="24">
        <v>4</v>
      </c>
      <c r="D186" s="12" t="s">
        <v>99</v>
      </c>
      <c r="E186" s="13">
        <v>89856131</v>
      </c>
      <c r="F186" s="14">
        <v>5.76</v>
      </c>
    </row>
    <row r="187" spans="1:6" x14ac:dyDescent="0.25">
      <c r="A187" s="7" t="s">
        <v>55</v>
      </c>
      <c r="B187" s="7" t="s">
        <v>199</v>
      </c>
      <c r="C187" s="23">
        <v>5</v>
      </c>
      <c r="D187" s="7" t="s">
        <v>101</v>
      </c>
      <c r="E187" s="8">
        <v>70613472</v>
      </c>
      <c r="F187" s="11">
        <v>4.53</v>
      </c>
    </row>
    <row r="188" spans="1:6" x14ac:dyDescent="0.25">
      <c r="A188" s="12" t="s">
        <v>55</v>
      </c>
      <c r="B188" s="12" t="s">
        <v>199</v>
      </c>
      <c r="C188" s="24">
        <v>6</v>
      </c>
      <c r="D188" s="12" t="s">
        <v>106</v>
      </c>
      <c r="E188" s="13">
        <v>47372301</v>
      </c>
      <c r="F188" s="14">
        <v>3.04</v>
      </c>
    </row>
    <row r="189" spans="1:6" x14ac:dyDescent="0.25">
      <c r="A189" s="7" t="s">
        <v>55</v>
      </c>
      <c r="B189" s="7" t="s">
        <v>199</v>
      </c>
      <c r="C189" s="23">
        <v>7</v>
      </c>
      <c r="D189" s="7" t="s">
        <v>104</v>
      </c>
      <c r="E189" s="8">
        <v>46518480</v>
      </c>
      <c r="F189" s="11">
        <v>2.98</v>
      </c>
    </row>
    <row r="190" spans="1:6" x14ac:dyDescent="0.25">
      <c r="A190" s="12" t="s">
        <v>55</v>
      </c>
      <c r="B190" s="12" t="s">
        <v>199</v>
      </c>
      <c r="C190" s="24">
        <v>8</v>
      </c>
      <c r="D190" s="12" t="s">
        <v>100</v>
      </c>
      <c r="E190" s="13">
        <v>41981116</v>
      </c>
      <c r="F190" s="14">
        <v>2.69</v>
      </c>
    </row>
    <row r="191" spans="1:6" x14ac:dyDescent="0.25">
      <c r="A191" s="7" t="s">
        <v>55</v>
      </c>
      <c r="B191" s="7" t="s">
        <v>199</v>
      </c>
      <c r="C191" s="23">
        <v>9</v>
      </c>
      <c r="D191" s="7" t="s">
        <v>107</v>
      </c>
      <c r="E191" s="8">
        <v>34203866</v>
      </c>
      <c r="F191" s="11">
        <v>2.19</v>
      </c>
    </row>
    <row r="192" spans="1:6" x14ac:dyDescent="0.25">
      <c r="A192" s="12" t="s">
        <v>55</v>
      </c>
      <c r="B192" s="12" t="s">
        <v>199</v>
      </c>
      <c r="C192" s="24">
        <v>10</v>
      </c>
      <c r="D192" s="12" t="s">
        <v>105</v>
      </c>
      <c r="E192" s="13">
        <v>34127248</v>
      </c>
      <c r="F192" s="14">
        <v>2.19</v>
      </c>
    </row>
    <row r="193" spans="1:6" x14ac:dyDescent="0.25">
      <c r="A193" s="7" t="s">
        <v>55</v>
      </c>
      <c r="B193" s="7" t="s">
        <v>199</v>
      </c>
      <c r="C193" s="23">
        <v>11</v>
      </c>
      <c r="D193" s="7" t="s">
        <v>113</v>
      </c>
      <c r="E193" s="8">
        <v>33369921</v>
      </c>
      <c r="F193" s="11">
        <v>2.14</v>
      </c>
    </row>
    <row r="194" spans="1:6" x14ac:dyDescent="0.25">
      <c r="A194" s="12" t="s">
        <v>55</v>
      </c>
      <c r="B194" s="12" t="s">
        <v>199</v>
      </c>
      <c r="C194" s="24">
        <v>12</v>
      </c>
      <c r="D194" s="12" t="s">
        <v>109</v>
      </c>
      <c r="E194" s="13">
        <v>28452944</v>
      </c>
      <c r="F194" s="14">
        <v>1.83</v>
      </c>
    </row>
    <row r="195" spans="1:6" x14ac:dyDescent="0.25">
      <c r="A195" s="7" t="s">
        <v>55</v>
      </c>
      <c r="B195" s="7" t="s">
        <v>199</v>
      </c>
      <c r="C195" s="23">
        <v>13</v>
      </c>
      <c r="D195" s="7" t="s">
        <v>110</v>
      </c>
      <c r="E195" s="8">
        <v>28350733</v>
      </c>
      <c r="F195" s="11">
        <v>1.82</v>
      </c>
    </row>
    <row r="196" spans="1:6" x14ac:dyDescent="0.25">
      <c r="A196" s="12" t="s">
        <v>55</v>
      </c>
      <c r="B196" s="12" t="s">
        <v>199</v>
      </c>
      <c r="C196" s="24">
        <v>14</v>
      </c>
      <c r="D196" s="12" t="s">
        <v>111</v>
      </c>
      <c r="E196" s="13">
        <v>28347247</v>
      </c>
      <c r="F196" s="14">
        <v>1.82</v>
      </c>
    </row>
    <row r="197" spans="1:6" x14ac:dyDescent="0.25">
      <c r="A197" s="7" t="s">
        <v>55</v>
      </c>
      <c r="B197" s="7" t="s">
        <v>199</v>
      </c>
      <c r="C197" s="23">
        <v>15</v>
      </c>
      <c r="D197" s="7" t="s">
        <v>214</v>
      </c>
      <c r="E197" s="8">
        <v>21984840</v>
      </c>
      <c r="F197" s="11">
        <v>1.41</v>
      </c>
    </row>
    <row r="198" spans="1:6" x14ac:dyDescent="0.25">
      <c r="A198" s="12" t="s">
        <v>55</v>
      </c>
      <c r="B198" s="12" t="s">
        <v>200</v>
      </c>
      <c r="C198" s="24">
        <v>1</v>
      </c>
      <c r="D198" s="12" t="s">
        <v>97</v>
      </c>
      <c r="E198" s="13">
        <v>618390625</v>
      </c>
      <c r="F198" s="14">
        <v>44.43</v>
      </c>
    </row>
    <row r="199" spans="1:6" x14ac:dyDescent="0.25">
      <c r="A199" s="7" t="s">
        <v>55</v>
      </c>
      <c r="B199" s="7" t="s">
        <v>200</v>
      </c>
      <c r="C199" s="23">
        <v>2</v>
      </c>
      <c r="D199" s="7" t="s">
        <v>98</v>
      </c>
      <c r="E199" s="8">
        <v>121309777</v>
      </c>
      <c r="F199" s="11">
        <v>8.7200000000000006</v>
      </c>
    </row>
    <row r="200" spans="1:6" x14ac:dyDescent="0.25">
      <c r="A200" s="12" t="s">
        <v>55</v>
      </c>
      <c r="B200" s="12" t="s">
        <v>200</v>
      </c>
      <c r="C200" s="24">
        <v>3</v>
      </c>
      <c r="D200" s="12" t="s">
        <v>99</v>
      </c>
      <c r="E200" s="13">
        <v>111008890</v>
      </c>
      <c r="F200" s="14">
        <v>7.98</v>
      </c>
    </row>
    <row r="201" spans="1:6" x14ac:dyDescent="0.25">
      <c r="A201" s="7" t="s">
        <v>55</v>
      </c>
      <c r="B201" s="7" t="s">
        <v>200</v>
      </c>
      <c r="C201" s="23">
        <v>4</v>
      </c>
      <c r="D201" s="7" t="s">
        <v>102</v>
      </c>
      <c r="E201" s="8">
        <v>74557131</v>
      </c>
      <c r="F201" s="11">
        <v>5.36</v>
      </c>
    </row>
    <row r="202" spans="1:6" x14ac:dyDescent="0.25">
      <c r="A202" s="12" t="s">
        <v>55</v>
      </c>
      <c r="B202" s="12" t="s">
        <v>200</v>
      </c>
      <c r="C202" s="24">
        <v>5</v>
      </c>
      <c r="D202" s="12" t="s">
        <v>101</v>
      </c>
      <c r="E202" s="13">
        <v>58443872</v>
      </c>
      <c r="F202" s="14">
        <v>4.2</v>
      </c>
    </row>
    <row r="203" spans="1:6" x14ac:dyDescent="0.25">
      <c r="A203" s="7" t="s">
        <v>55</v>
      </c>
      <c r="B203" s="7" t="s">
        <v>200</v>
      </c>
      <c r="C203" s="23">
        <v>6</v>
      </c>
      <c r="D203" s="7" t="s">
        <v>100</v>
      </c>
      <c r="E203" s="8">
        <v>51737515</v>
      </c>
      <c r="F203" s="11">
        <v>3.72</v>
      </c>
    </row>
    <row r="204" spans="1:6" x14ac:dyDescent="0.25">
      <c r="A204" s="12" t="s">
        <v>55</v>
      </c>
      <c r="B204" s="12" t="s">
        <v>200</v>
      </c>
      <c r="C204" s="24">
        <v>7</v>
      </c>
      <c r="D204" s="12" t="s">
        <v>104</v>
      </c>
      <c r="E204" s="13">
        <v>50464576</v>
      </c>
      <c r="F204" s="14">
        <v>3.63</v>
      </c>
    </row>
    <row r="205" spans="1:6" x14ac:dyDescent="0.25">
      <c r="A205" s="7" t="s">
        <v>55</v>
      </c>
      <c r="B205" s="7" t="s">
        <v>200</v>
      </c>
      <c r="C205" s="23">
        <v>8</v>
      </c>
      <c r="D205" s="7" t="s">
        <v>106</v>
      </c>
      <c r="E205" s="8">
        <v>48763816</v>
      </c>
      <c r="F205" s="11">
        <v>3.5</v>
      </c>
    </row>
    <row r="206" spans="1:6" x14ac:dyDescent="0.25">
      <c r="A206" s="12" t="s">
        <v>55</v>
      </c>
      <c r="B206" s="12" t="s">
        <v>200</v>
      </c>
      <c r="C206" s="24">
        <v>9</v>
      </c>
      <c r="D206" s="12" t="s">
        <v>107</v>
      </c>
      <c r="E206" s="13">
        <v>43666874</v>
      </c>
      <c r="F206" s="14">
        <v>3.14</v>
      </c>
    </row>
    <row r="207" spans="1:6" x14ac:dyDescent="0.25">
      <c r="A207" s="7" t="s">
        <v>55</v>
      </c>
      <c r="B207" s="7" t="s">
        <v>200</v>
      </c>
      <c r="C207" s="23">
        <v>10</v>
      </c>
      <c r="D207" s="7" t="s">
        <v>105</v>
      </c>
      <c r="E207" s="8">
        <v>42560410</v>
      </c>
      <c r="F207" s="11">
        <v>3.06</v>
      </c>
    </row>
    <row r="208" spans="1:6" x14ac:dyDescent="0.25">
      <c r="A208" s="12" t="s">
        <v>55</v>
      </c>
      <c r="B208" s="12" t="s">
        <v>200</v>
      </c>
      <c r="C208" s="24">
        <v>11</v>
      </c>
      <c r="D208" s="12" t="s">
        <v>109</v>
      </c>
      <c r="E208" s="13">
        <v>38396941</v>
      </c>
      <c r="F208" s="14">
        <v>2.76</v>
      </c>
    </row>
    <row r="209" spans="1:6" x14ac:dyDescent="0.25">
      <c r="A209" s="7" t="s">
        <v>55</v>
      </c>
      <c r="B209" s="7" t="s">
        <v>200</v>
      </c>
      <c r="C209" s="23">
        <v>12</v>
      </c>
      <c r="D209" s="7" t="s">
        <v>115</v>
      </c>
      <c r="E209" s="8">
        <v>37785001</v>
      </c>
      <c r="F209" s="11">
        <v>2.72</v>
      </c>
    </row>
    <row r="210" spans="1:6" x14ac:dyDescent="0.25">
      <c r="A210" s="12" t="s">
        <v>55</v>
      </c>
      <c r="B210" s="12" t="s">
        <v>200</v>
      </c>
      <c r="C210" s="24">
        <v>13</v>
      </c>
      <c r="D210" s="12" t="s">
        <v>103</v>
      </c>
      <c r="E210" s="13">
        <v>33553024</v>
      </c>
      <c r="F210" s="14">
        <v>2.41</v>
      </c>
    </row>
    <row r="211" spans="1:6" x14ac:dyDescent="0.25">
      <c r="A211" s="7" t="s">
        <v>55</v>
      </c>
      <c r="B211" s="7" t="s">
        <v>200</v>
      </c>
      <c r="C211" s="23">
        <v>14</v>
      </c>
      <c r="D211" s="7" t="s">
        <v>110</v>
      </c>
      <c r="E211" s="8">
        <v>30994342</v>
      </c>
      <c r="F211" s="11">
        <v>2.23</v>
      </c>
    </row>
    <row r="212" spans="1:6" x14ac:dyDescent="0.25">
      <c r="A212" s="12" t="s">
        <v>55</v>
      </c>
      <c r="B212" s="12" t="s">
        <v>200</v>
      </c>
      <c r="C212" s="24">
        <v>15</v>
      </c>
      <c r="D212" s="12" t="s">
        <v>113</v>
      </c>
      <c r="E212" s="13">
        <v>30064297</v>
      </c>
      <c r="F212" s="14">
        <v>2.16</v>
      </c>
    </row>
    <row r="213" spans="1:6" x14ac:dyDescent="0.25">
      <c r="A213" s="7" t="s">
        <v>55</v>
      </c>
      <c r="B213" s="7" t="s">
        <v>201</v>
      </c>
      <c r="C213" s="23">
        <v>1</v>
      </c>
      <c r="D213" s="7" t="s">
        <v>97</v>
      </c>
      <c r="E213" s="8">
        <v>174416163</v>
      </c>
      <c r="F213" s="11">
        <v>34.15</v>
      </c>
    </row>
    <row r="214" spans="1:6" x14ac:dyDescent="0.25">
      <c r="A214" s="12" t="s">
        <v>55</v>
      </c>
      <c r="B214" s="12" t="s">
        <v>201</v>
      </c>
      <c r="C214" s="24">
        <v>2</v>
      </c>
      <c r="D214" s="12" t="s">
        <v>98</v>
      </c>
      <c r="E214" s="13">
        <v>53568518</v>
      </c>
      <c r="F214" s="14">
        <v>10.49</v>
      </c>
    </row>
    <row r="215" spans="1:6" x14ac:dyDescent="0.25">
      <c r="A215" s="7" t="s">
        <v>55</v>
      </c>
      <c r="B215" s="7" t="s">
        <v>201</v>
      </c>
      <c r="C215" s="23">
        <v>3</v>
      </c>
      <c r="D215" s="7" t="s">
        <v>99</v>
      </c>
      <c r="E215" s="8">
        <v>44796199</v>
      </c>
      <c r="F215" s="11">
        <v>8.77</v>
      </c>
    </row>
    <row r="216" spans="1:6" x14ac:dyDescent="0.25">
      <c r="A216" s="12" t="s">
        <v>55</v>
      </c>
      <c r="B216" s="12" t="s">
        <v>201</v>
      </c>
      <c r="C216" s="24">
        <v>4</v>
      </c>
      <c r="D216" s="12" t="s">
        <v>100</v>
      </c>
      <c r="E216" s="13">
        <v>36999249</v>
      </c>
      <c r="F216" s="14">
        <v>7.24</v>
      </c>
    </row>
    <row r="217" spans="1:6" x14ac:dyDescent="0.25">
      <c r="A217" s="7" t="s">
        <v>55</v>
      </c>
      <c r="B217" s="7" t="s">
        <v>201</v>
      </c>
      <c r="C217" s="23">
        <v>5</v>
      </c>
      <c r="D217" s="7" t="s">
        <v>101</v>
      </c>
      <c r="E217" s="8">
        <v>23536971</v>
      </c>
      <c r="F217" s="11">
        <v>4.6100000000000003</v>
      </c>
    </row>
    <row r="218" spans="1:6" x14ac:dyDescent="0.25">
      <c r="A218" s="12" t="s">
        <v>55</v>
      </c>
      <c r="B218" s="12" t="s">
        <v>201</v>
      </c>
      <c r="C218" s="24">
        <v>6</v>
      </c>
      <c r="D218" s="12" t="s">
        <v>102</v>
      </c>
      <c r="E218" s="13">
        <v>22464031</v>
      </c>
      <c r="F218" s="14">
        <v>4.4000000000000004</v>
      </c>
    </row>
    <row r="219" spans="1:6" x14ac:dyDescent="0.25">
      <c r="A219" s="7" t="s">
        <v>55</v>
      </c>
      <c r="B219" s="7" t="s">
        <v>201</v>
      </c>
      <c r="C219" s="23">
        <v>7</v>
      </c>
      <c r="D219" s="7" t="s">
        <v>103</v>
      </c>
      <c r="E219" s="8">
        <v>21898854</v>
      </c>
      <c r="F219" s="11">
        <v>4.29</v>
      </c>
    </row>
    <row r="220" spans="1:6" x14ac:dyDescent="0.25">
      <c r="A220" s="12" t="s">
        <v>55</v>
      </c>
      <c r="B220" s="12" t="s">
        <v>201</v>
      </c>
      <c r="C220" s="24">
        <v>8</v>
      </c>
      <c r="D220" s="12" t="s">
        <v>104</v>
      </c>
      <c r="E220" s="13">
        <v>20880878</v>
      </c>
      <c r="F220" s="14">
        <v>4.09</v>
      </c>
    </row>
    <row r="221" spans="1:6" x14ac:dyDescent="0.25">
      <c r="A221" s="7" t="s">
        <v>55</v>
      </c>
      <c r="B221" s="7" t="s">
        <v>201</v>
      </c>
      <c r="C221" s="23">
        <v>9</v>
      </c>
      <c r="D221" s="7" t="s">
        <v>105</v>
      </c>
      <c r="E221" s="8">
        <v>18507219</v>
      </c>
      <c r="F221" s="11">
        <v>3.62</v>
      </c>
    </row>
    <row r="222" spans="1:6" x14ac:dyDescent="0.25">
      <c r="A222" s="12" t="s">
        <v>55</v>
      </c>
      <c r="B222" s="12" t="s">
        <v>201</v>
      </c>
      <c r="C222" s="24">
        <v>10</v>
      </c>
      <c r="D222" s="12" t="s">
        <v>106</v>
      </c>
      <c r="E222" s="13">
        <v>18254257</v>
      </c>
      <c r="F222" s="14">
        <v>3.57</v>
      </c>
    </row>
    <row r="223" spans="1:6" x14ac:dyDescent="0.25">
      <c r="A223" s="7" t="s">
        <v>55</v>
      </c>
      <c r="B223" s="7" t="s">
        <v>201</v>
      </c>
      <c r="C223" s="23">
        <v>11</v>
      </c>
      <c r="D223" s="7" t="s">
        <v>107</v>
      </c>
      <c r="E223" s="8">
        <v>17802429</v>
      </c>
      <c r="F223" s="11">
        <v>3.49</v>
      </c>
    </row>
    <row r="224" spans="1:6" x14ac:dyDescent="0.25">
      <c r="A224" s="12" t="s">
        <v>55</v>
      </c>
      <c r="B224" s="12" t="s">
        <v>201</v>
      </c>
      <c r="C224" s="24">
        <v>12</v>
      </c>
      <c r="D224" s="12" t="s">
        <v>108</v>
      </c>
      <c r="E224" s="13">
        <v>14833283</v>
      </c>
      <c r="F224" s="14">
        <v>2.9</v>
      </c>
    </row>
    <row r="225" spans="1:6" x14ac:dyDescent="0.25">
      <c r="A225" s="7" t="s">
        <v>55</v>
      </c>
      <c r="B225" s="7" t="s">
        <v>201</v>
      </c>
      <c r="C225" s="23">
        <v>13</v>
      </c>
      <c r="D225" s="7" t="s">
        <v>109</v>
      </c>
      <c r="E225" s="8">
        <v>14716745</v>
      </c>
      <c r="F225" s="11">
        <v>2.88</v>
      </c>
    </row>
    <row r="226" spans="1:6" x14ac:dyDescent="0.25">
      <c r="A226" s="12" t="s">
        <v>55</v>
      </c>
      <c r="B226" s="12" t="s">
        <v>201</v>
      </c>
      <c r="C226" s="24">
        <v>14</v>
      </c>
      <c r="D226" s="12" t="s">
        <v>110</v>
      </c>
      <c r="E226" s="13">
        <v>14244206</v>
      </c>
      <c r="F226" s="14">
        <v>2.79</v>
      </c>
    </row>
    <row r="227" spans="1:6" x14ac:dyDescent="0.25">
      <c r="A227" s="7" t="s">
        <v>55</v>
      </c>
      <c r="B227" s="7" t="s">
        <v>201</v>
      </c>
      <c r="C227" s="23">
        <v>15</v>
      </c>
      <c r="D227" s="7" t="s">
        <v>111</v>
      </c>
      <c r="E227" s="8">
        <v>13801569</v>
      </c>
      <c r="F227" s="11">
        <v>2.7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0_Indice</vt:lpstr>
      <vt:lpstr>1_Resumo_Geral</vt:lpstr>
      <vt:lpstr>2_Mensal_Total</vt:lpstr>
      <vt:lpstr>3_Mensal_Setor</vt:lpstr>
      <vt:lpstr>4_Top_Produtos</vt:lpstr>
      <vt:lpstr>5_Top_Destinos</vt:lpstr>
      <vt:lpstr>6_Conc_EUA</vt:lpstr>
      <vt:lpstr>7_Part_SC_BR</vt:lpstr>
      <vt:lpstr>8_Rank_Estados</vt:lpstr>
      <vt:lpstr>9_Dest_Setor</vt:lpstr>
      <vt:lpstr>10_HHI_Gini</vt:lpstr>
      <vt:lpstr>11_HHI_Gini_Longo</vt:lpstr>
      <vt:lpstr>12_Share_Pais</vt:lpstr>
      <vt:lpstr>13_Dest_Detalhe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HAEMING</cp:lastModifiedBy>
  <dcterms:created xsi:type="dcterms:W3CDTF">2026-06-18T20:39:14Z</dcterms:created>
  <dcterms:modified xsi:type="dcterms:W3CDTF">2026-06-18T22:17:34Z</dcterms:modified>
</cp:coreProperties>
</file>