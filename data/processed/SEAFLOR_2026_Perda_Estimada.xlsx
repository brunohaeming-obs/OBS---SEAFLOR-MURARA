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.haeming\Desktop\Demandas\OBS - SEAFLOR MURARA\data\processed\"/>
    </mc:Choice>
  </mc:AlternateContent>
  <xr:revisionPtr revIDLastSave="0" documentId="13_ncr:1_{F03C4586-4374-44E3-86E5-2EC90C62276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_Indice" sheetId="1" r:id="rId1"/>
    <sheet name="1_Decomposicao" sheetId="2" r:id="rId2"/>
    <sheet name="2_Mensal" sheetId="3" r:id="rId3"/>
    <sheet name="3_Valor_Unitario" sheetId="4" r:id="rId4"/>
    <sheet name="4_Contrafactual" sheetId="5" r:id="rId5"/>
    <sheet name="5_Desvio_Ganh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</calcChain>
</file>

<file path=xl/sharedStrings.xml><?xml version="1.0" encoding="utf-8"?>
<sst xmlns="http://schemas.openxmlformats.org/spreadsheetml/2006/main" count="221" uniqueCount="121">
  <si>
    <t>SEAFLOR 2026 — Estimativa de Perda de Receita de Exportação | Complexo Florestal SC</t>
  </si>
  <si>
    <t>Fonte: ComexStat/MDIC | Observatório FIESC | Junho 2026</t>
  </si>
  <si>
    <t>Metodologia: destruição bruta − desvio de comércio + efeito-preço. Contrafactual A (baseline Jan-Mai 2025) e B (baseline 2024) e C (baseline 2023).</t>
  </si>
  <si>
    <t>Aba</t>
  </si>
  <si>
    <t>Descrição</t>
  </si>
  <si>
    <t>1_Decomposicao</t>
  </si>
  <si>
    <t>1. Decomposição: Destruição Bruta | Desvio de Comércio | Destruição Líquida | Efeito-Preço | Perda Total — por Setor</t>
  </si>
  <si>
    <t>2_Mensal</t>
  </si>
  <si>
    <t>2. Perda Mensal Jan-Mai 2026 vs 2025 — Complexo Florestal SC</t>
  </si>
  <si>
    <t>3_Valor_Unitario</t>
  </si>
  <si>
    <t>3. Valor Unitário (USD/kg) EUA vs Outros Mercados — Prêmio de Mercado por Setor e Período</t>
  </si>
  <si>
    <t>4_Contrafactual</t>
  </si>
  <si>
    <t>4. Cenários Contrafactuais A/B/C — Receita Foregone por Setor e Baseline de Share EUA</t>
  </si>
  <si>
    <t>5_Desvio_Ganhos</t>
  </si>
  <si>
    <t>5. Desvio de Comércio — Países Ganhadores/Perdedores com Variação de Valor Unitário</t>
  </si>
  <si>
    <t>Setor</t>
  </si>
  <si>
    <t>EXP_EUA_janmai_2025</t>
  </si>
  <si>
    <t>EXP_EUA_janmai_2026</t>
  </si>
  <si>
    <t>EXP_Outros_janmai_2025</t>
  </si>
  <si>
    <t>EXP_Outros_janmai_2026</t>
  </si>
  <si>
    <t>EXP_Total_janmai_2025</t>
  </si>
  <si>
    <t>EXP_Total_janmai_2026</t>
  </si>
  <si>
    <t>Share_EUA_2025_Pct</t>
  </si>
  <si>
    <t>Share_EUA_2026_Pct</t>
  </si>
  <si>
    <t>I_Destruicao_Bruta_USD</t>
  </si>
  <si>
    <t>II_Desvio_Comercio_USD</t>
  </si>
  <si>
    <t>III_Destruicao_Liquida_USD</t>
  </si>
  <si>
    <t>VU_EUA_2025_USD_kg</t>
  </si>
  <si>
    <t>VU_Outros_2025_USD_kg</t>
  </si>
  <si>
    <t>Premio_EUA_USD_kg</t>
  </si>
  <si>
    <t>IV_Efeito_Preco_USD</t>
  </si>
  <si>
    <t>Perda_Total_MetA_USD</t>
  </si>
  <si>
    <t>Share_EUA_2024_Pct</t>
  </si>
  <si>
    <t>CTF_B_EXP_EUA_USD</t>
  </si>
  <si>
    <t>Perda_Total_MetB_USD</t>
  </si>
  <si>
    <t>Complexo Florestal</t>
  </si>
  <si>
    <t>Madeira (CNAE 16)</t>
  </si>
  <si>
    <t>Moveis (CNAE 31)</t>
  </si>
  <si>
    <t>Madeira e Moveis (16+31)</t>
  </si>
  <si>
    <t>Papel e Celulose (CNAE 17)</t>
  </si>
  <si>
    <t>Base Florestal (CNAE 2)</t>
  </si>
  <si>
    <t>Mes</t>
  </si>
  <si>
    <t>EXP_EUA_2025</t>
  </si>
  <si>
    <t>EXP_EUA_2026</t>
  </si>
  <si>
    <t>Var_EXP_EUA_Pct</t>
  </si>
  <si>
    <t>EXP_Total_2025</t>
  </si>
  <si>
    <t>EXP_Total_2026</t>
  </si>
  <si>
    <t>Destr_Bruta_USD</t>
  </si>
  <si>
    <t>Desvio_USD</t>
  </si>
  <si>
    <t>Destr_Liq_USD</t>
  </si>
  <si>
    <t>Efeito_Preco_USD</t>
  </si>
  <si>
    <t>Perda_Total_USD</t>
  </si>
  <si>
    <t>Jan</t>
  </si>
  <si>
    <t>Fev</t>
  </si>
  <si>
    <t>Mar</t>
  </si>
  <si>
    <t>Abr</t>
  </si>
  <si>
    <t>Mai</t>
  </si>
  <si>
    <t>TOTAL Jan-Mai</t>
  </si>
  <si>
    <t>Periodo</t>
  </si>
  <si>
    <t>VU_EUA_USD_kg</t>
  </si>
  <si>
    <t>VU_Outros_USD_kg</t>
  </si>
  <si>
    <t>Premio_Pct</t>
  </si>
  <si>
    <t>EXP_EUA_USD</t>
  </si>
  <si>
    <t>EXP_Outros_USD</t>
  </si>
  <si>
    <t>2024 (ano)</t>
  </si>
  <si>
    <t>2025 (ano)</t>
  </si>
  <si>
    <t>2026 (Jan-Mai)</t>
  </si>
  <si>
    <t>Cenario</t>
  </si>
  <si>
    <t>Share_EUA_Baseline_Pct</t>
  </si>
  <si>
    <t>EXP_Total_real_26_USD</t>
  </si>
  <si>
    <t>EXP_EUA_real_26_USD</t>
  </si>
  <si>
    <t>EXP_EUA_Share_real_26_Pct</t>
  </si>
  <si>
    <t>EXP_EUA_Contrafactual_USD</t>
  </si>
  <si>
    <t>Receita_Foregone_USD</t>
  </si>
  <si>
    <t>Receita_Foregone_Pct_Total</t>
  </si>
  <si>
    <t>A — Baseline Jan-Mai 2025 (conservador)</t>
  </si>
  <si>
    <t>B — Baseline 2024 ano fechado (base)</t>
  </si>
  <si>
    <t>C — Baseline 2023 ano fechado (estrutural)</t>
  </si>
  <si>
    <t>Pais</t>
  </si>
  <si>
    <t>EXP_2025</t>
  </si>
  <si>
    <t>EXP_2026</t>
  </si>
  <si>
    <t>Delta_EXP_USD</t>
  </si>
  <si>
    <t>Delta_Pct</t>
  </si>
  <si>
    <t>VU_2025_USD_kg</t>
  </si>
  <si>
    <t>VU_2026_USD_kg</t>
  </si>
  <si>
    <t>Var_VU_Pct</t>
  </si>
  <si>
    <t>Classificacao</t>
  </si>
  <si>
    <t>Itália</t>
  </si>
  <si>
    <t>Ganhador</t>
  </si>
  <si>
    <t>México</t>
  </si>
  <si>
    <t>Espanha</t>
  </si>
  <si>
    <t>África do Sul</t>
  </si>
  <si>
    <t>Catar</t>
  </si>
  <si>
    <t>Colômbia</t>
  </si>
  <si>
    <t>Indonésia</t>
  </si>
  <si>
    <t>Guatemala</t>
  </si>
  <si>
    <t>Peru</t>
  </si>
  <si>
    <t>Singapura</t>
  </si>
  <si>
    <t>Vietnã</t>
  </si>
  <si>
    <t>Paraguai</t>
  </si>
  <si>
    <t>Jamaica</t>
  </si>
  <si>
    <t>Camboja</t>
  </si>
  <si>
    <t>Índia</t>
  </si>
  <si>
    <t>Marrocos</t>
  </si>
  <si>
    <t>Tailândia</t>
  </si>
  <si>
    <t>Venezuela</t>
  </si>
  <si>
    <t>Coreia do Sul</t>
  </si>
  <si>
    <t>Estável</t>
  </si>
  <si>
    <t>Armênia</t>
  </si>
  <si>
    <t>Senegal</t>
  </si>
  <si>
    <t>Nova Zelândia</t>
  </si>
  <si>
    <t>Bangladesh</t>
  </si>
  <si>
    <t>Paquistão</t>
  </si>
  <si>
    <t>Panamá</t>
  </si>
  <si>
    <t>2. Análise da Decomposição da Perda — Complexo Florestal (jan–mai 2025 → 2026)</t>
  </si>
  <si>
    <t>Dados do gráfico — por setor (US$ milhões)</t>
  </si>
  <si>
    <t>Destruição Bruta</t>
  </si>
  <si>
    <t>Destruição Líquida</t>
  </si>
  <si>
    <t>Perda Total (Mét. A)</t>
  </si>
  <si>
    <t>Principais conclusões</t>
  </si>
  <si>
    <t>• Exposição aos EUA despencou: a participação dos EUA nas exportações do complexo florestal caiu de 41,0% (2024) e 39,2% (jan–mai 2025) para 24,8% em 2026. As exportações totais do complexo recuaram de US$ 822,2 mi para US$ 703,7 mi (−14,4%).
• Destruição Bruta (queda das vendas aos EUA): US$ 147,7 mi. O desvio de comércio — volume redirecionado a outros mercados — recuperou US$ 29,2 mi, levando a uma Destruição Líquida de US$ 118,6 mi.
• Perda Total estimada do complexo: US$ 118,6 mi (Método A) e US$ 114,4 mi (Método B) — os dois métodos convergem (diferença &lt;4%), reforçando a robustez do número.
• Madeira (CNAE 16) concentra o impacto: US$ 118,1 mi de destruição bruta e US$ 115,8 mi de perda total — responde por quase toda a perda do complexo. Sua dependência dos EUA caiu de 48,6% para 31,7%.
• Móveis (CNAE 31): US$ 24,9 mi de perda, sem desvio de comércio (não houve realocação a outros destinos); alto valor unitário nos EUA (US$ 2,96/kg).
• Papel e Celulose (CNAE 17): as exportações totais cresceram e o desvio de comércio mais que compensou a queda aos EUA (destruição líquida negativa, −US$ 5,6 mi); ainda assim há perda de US$ 12,2 mi pelo Efeito-Preço (US$ 17,7 mi) — o prêmio pago pelos EUA (US$ 0,91/kg) não é recuperado em outros mercados.
• Base Florestal (CNAE 2): impacto desprezível (leve ganho de US$ 0,6 mi).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</si>
</sst>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+&quot;\ 0.00&quot;%&quot;"/>
    <numFmt numFmtId="165" formatCode="0.0000"/>
    <numFmt numFmtId="166" formatCode="0.00&quot;%&quot;"/>
    <numFmt numFmtId="167" formatCode="#,##0.0"/>
  </numFmts>
  <fonts count="10" x14ac:knownFonts="1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75623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theme="1"/>
      <name val="Calibri"/>
      <scheme val="minor"/>
    </font>
    <font>
      <b/>
      <sz val="10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0" fillId="4" borderId="2" xfId="0" applyFill="1" applyBorder="1"/>
    <xf numFmtId="0" fontId="0" fillId="0" borderId="2" xfId="0" applyBorder="1"/>
    <xf numFmtId="0" fontId="4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3" fontId="5" fillId="4" borderId="2" xfId="0" applyNumberFormat="1" applyFont="1" applyFill="1" applyBorder="1"/>
    <xf numFmtId="164" fontId="6" fillId="0" borderId="2" xfId="0" applyNumberFormat="1" applyFont="1" applyBorder="1"/>
    <xf numFmtId="165" fontId="5" fillId="4" borderId="2" xfId="0" applyNumberFormat="1" applyFont="1" applyFill="1" applyBorder="1"/>
    <xf numFmtId="0" fontId="5" fillId="0" borderId="2" xfId="0" applyFont="1" applyBorder="1"/>
    <xf numFmtId="3" fontId="5" fillId="0" borderId="2" xfId="0" applyNumberFormat="1" applyFont="1" applyBorder="1"/>
    <xf numFmtId="165" fontId="5" fillId="0" borderId="2" xfId="0" applyNumberFormat="1" applyFont="1" applyBorder="1"/>
    <xf numFmtId="166" fontId="7" fillId="0" borderId="2" xfId="0" applyNumberFormat="1" applyFont="1" applyBorder="1"/>
    <xf numFmtId="0" fontId="1" fillId="0" borderId="1" xfId="0" applyFont="1" applyBorder="1"/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167" fontId="8" fillId="0" borderId="2" xfId="0" applyNumberFormat="1" applyFont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9" fillId="2" borderId="0" xfId="0" applyFont="1" applyFill="1"/>
    <xf numFmtId="0" fontId="5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/>
    </xf>
    <xf numFmtId="0" fontId="4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Decomposição da Perda por Setor (US$ milhões) — jan–mai 2026 vs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'1_Decomposicao'!$B$14</c:f>
              <c:strCache>
                <c:ptCount val="1"/>
                <c:pt idx="0">
                  <c:v>Destruição Bruta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'1_Decomposicao'!$A$15:$A$18</c:f>
              <c:strCache>
                <c:ptCount val="4"/>
                <c:pt idx="0">
                  <c:v>Madeira (CNAE 16)</c:v>
                </c:pt>
                <c:pt idx="1">
                  <c:v>Moveis (CNAE 31)</c:v>
                </c:pt>
                <c:pt idx="2">
                  <c:v>Papel e Celulose (CNAE 17)</c:v>
                </c:pt>
                <c:pt idx="3">
                  <c:v>Base Florestal (CNAE 2)</c:v>
                </c:pt>
              </c:strCache>
            </c:strRef>
          </c:cat>
          <c:val>
            <c:numRef>
              <c:f>'1_Decomposicao'!$B$15:$B$18</c:f>
              <c:numCache>
                <c:formatCode>#,##0.0</c:formatCode>
                <c:ptCount val="4"/>
                <c:pt idx="0">
                  <c:v>118.13992399999999</c:v>
                </c:pt>
                <c:pt idx="1">
                  <c:v>24.944588</c:v>
                </c:pt>
                <c:pt idx="2">
                  <c:v>5.2192670000000003</c:v>
                </c:pt>
                <c:pt idx="3">
                  <c:v>-0.56280200000000002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3-4AB8-9E31-4C24DBE528BD}"/>
            </c:ext>
          </c:extLst>
        </c:ser>
        <c:ser>
          <c:idx val="1"/>
          <c:order val="1"/>
          <c:tx>
            <c:strRef>
              <c:f>'1_Decomposicao'!$C$14</c:f>
              <c:strCache>
                <c:ptCount val="1"/>
                <c:pt idx="0">
                  <c:v>Destruição Líquida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'1_Decomposicao'!$A$15:$A$18</c:f>
              <c:strCache>
                <c:ptCount val="4"/>
                <c:pt idx="0">
                  <c:v>Madeira (CNAE 16)</c:v>
                </c:pt>
                <c:pt idx="1">
                  <c:v>Moveis (CNAE 31)</c:v>
                </c:pt>
                <c:pt idx="2">
                  <c:v>Papel e Celulose (CNAE 17)</c:v>
                </c:pt>
                <c:pt idx="3">
                  <c:v>Base Florestal (CNAE 2)</c:v>
                </c:pt>
              </c:strCache>
            </c:strRef>
          </c:cat>
          <c:val>
            <c:numRef>
              <c:f>'1_Decomposicao'!$C$15:$C$18</c:f>
              <c:numCache>
                <c:formatCode>#,##0.0</c:formatCode>
                <c:ptCount val="4"/>
                <c:pt idx="0">
                  <c:v>85.643822</c:v>
                </c:pt>
                <c:pt idx="1">
                  <c:v>24.944588</c:v>
                </c:pt>
                <c:pt idx="2">
                  <c:v>-5.5743450000000001</c:v>
                </c:pt>
                <c:pt idx="3">
                  <c:v>-0.56280200000000002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3-4AB8-9E31-4C24DBE528BD}"/>
            </c:ext>
          </c:extLst>
        </c:ser>
        <c:ser>
          <c:idx val="2"/>
          <c:order val="2"/>
          <c:tx>
            <c:strRef>
              <c:f>'1_Decomposicao'!$D$14</c:f>
              <c:strCache>
                <c:ptCount val="1"/>
                <c:pt idx="0">
                  <c:v>Perda Total (Mét. A)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'1_Decomposicao'!$A$15:$A$18</c:f>
              <c:strCache>
                <c:ptCount val="4"/>
                <c:pt idx="0">
                  <c:v>Madeira (CNAE 16)</c:v>
                </c:pt>
                <c:pt idx="1">
                  <c:v>Moveis (CNAE 31)</c:v>
                </c:pt>
                <c:pt idx="2">
                  <c:v>Papel e Celulose (CNAE 17)</c:v>
                </c:pt>
                <c:pt idx="3">
                  <c:v>Base Florestal (CNAE 2)</c:v>
                </c:pt>
              </c:strCache>
            </c:strRef>
          </c:cat>
          <c:val>
            <c:numRef>
              <c:f>'1_Decomposicao'!$D$15:$D$18</c:f>
              <c:numCache>
                <c:formatCode>#,##0.0</c:formatCode>
                <c:ptCount val="4"/>
                <c:pt idx="0">
                  <c:v>115.785719</c:v>
                </c:pt>
                <c:pt idx="1">
                  <c:v>24.944588</c:v>
                </c:pt>
                <c:pt idx="2">
                  <c:v>12.156457</c:v>
                </c:pt>
                <c:pt idx="3">
                  <c:v>-0.56280200000000002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D3-4AB8-9E31-4C24DBE52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471951"/>
        <c:axId val="1407470991"/>
      </c:barChart>
      <c:catAx>
        <c:axId val="140747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7470991"/>
        <c:crosses val="autoZero"/>
        <c:auto val="1"/>
        <c:lblAlgn val="ctr"/>
        <c:lblOffset val="100"/>
        <c:noMultiLvlLbl val="0"/>
      </c:catAx>
      <c:valAx>
        <c:axId val="14074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milhões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747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20</xdr:row>
      <xdr:rowOff>28574</xdr:rowOff>
    </xdr:from>
    <xdr:to>
      <xdr:col>9</xdr:col>
      <xdr:colOff>517072</xdr:colOff>
      <xdr:row>37</xdr:row>
      <xdr:rowOff>136071</xdr:rowOff>
    </xdr:to>
    <xdr:graphicFrame macro="">
      <xdr:nvGraphicFramePr>
        <xdr:cNvPr id="2" name="DecomposicaoSetor">
          <a:extLst>
            <a:ext uri="{FF2B5EF4-FFF2-40B4-BE49-F238E27FC236}">
              <a16:creationId xmlns:a16="http://schemas.microsoft.com/office/drawing/2014/main" id="{27BB17FE-325B-F2AB-ED2B-16AC9C966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2967BC-06B5-4BA1-8B84-939F609C21B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0d78a1c-ba23-4824-8b2f-b90aa0bf210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workbookViewId="0"/>
  </sheetViews>
  <sheetFormatPr defaultRowHeight="15" x14ac:dyDescent="0.25"/>
  <cols>
    <col min="1" max="1" width="4.7109375" customWidth="1"/>
    <col min="2" max="2" width="38.7109375" customWidth="1"/>
    <col min="3" max="3" width="72.7109375" customWidth="1"/>
  </cols>
  <sheetData>
    <row r="2" spans="2:3" ht="17.25" x14ac:dyDescent="0.3">
      <c r="B2" s="14" t="s">
        <v>0</v>
      </c>
      <c r="C2" s="14"/>
    </row>
    <row r="3" spans="2:3" x14ac:dyDescent="0.25">
      <c r="B3" s="15" t="s">
        <v>1</v>
      </c>
      <c r="C3" s="15"/>
    </row>
    <row r="4" spans="2:3" x14ac:dyDescent="0.25">
      <c r="B4" s="15" t="s">
        <v>2</v>
      </c>
      <c r="C4" s="15"/>
    </row>
    <row r="6" spans="2:3" x14ac:dyDescent="0.25">
      <c r="B6" s="1" t="s">
        <v>3</v>
      </c>
      <c r="C6" s="1" t="s">
        <v>4</v>
      </c>
    </row>
    <row r="7" spans="2:3" x14ac:dyDescent="0.25">
      <c r="B7" s="2" t="s">
        <v>5</v>
      </c>
      <c r="C7" s="3" t="s">
        <v>6</v>
      </c>
    </row>
    <row r="8" spans="2:3" x14ac:dyDescent="0.25">
      <c r="B8" s="2" t="s">
        <v>7</v>
      </c>
      <c r="C8" s="4" t="s">
        <v>8</v>
      </c>
    </row>
    <row r="9" spans="2:3" x14ac:dyDescent="0.25">
      <c r="B9" s="2" t="s">
        <v>9</v>
      </c>
      <c r="C9" s="3" t="s">
        <v>10</v>
      </c>
    </row>
    <row r="10" spans="2:3" x14ac:dyDescent="0.25">
      <c r="B10" s="2" t="s">
        <v>11</v>
      </c>
      <c r="C10" s="4" t="s">
        <v>12</v>
      </c>
    </row>
    <row r="11" spans="2:3" x14ac:dyDescent="0.25">
      <c r="B11" s="2" t="s">
        <v>13</v>
      </c>
      <c r="C11" s="3" t="s">
        <v>14</v>
      </c>
    </row>
  </sheetData>
  <mergeCells count="3">
    <mergeCell ref="B2:C2"/>
    <mergeCell ref="B3:C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3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0" sqref="I20"/>
    </sheetView>
  </sheetViews>
  <sheetFormatPr defaultRowHeight="15" x14ac:dyDescent="0.25"/>
  <cols>
    <col min="1" max="1" width="29.7109375" customWidth="1"/>
    <col min="2" max="3" width="22.7109375" customWidth="1"/>
    <col min="4" max="5" width="25.7109375" customWidth="1"/>
    <col min="6" max="7" width="24.7109375" customWidth="1"/>
    <col min="8" max="9" width="21.7109375" customWidth="1"/>
    <col min="10" max="11" width="25.7109375" customWidth="1"/>
    <col min="12" max="12" width="29.7109375" customWidth="1"/>
    <col min="13" max="13" width="21.7109375" customWidth="1"/>
    <col min="14" max="14" width="24.7109375" customWidth="1"/>
    <col min="15" max="15" width="20.7109375" customWidth="1"/>
    <col min="16" max="16" width="22.7109375" customWidth="1"/>
    <col min="17" max="17" width="23.7109375" customWidth="1"/>
    <col min="18" max="18" width="21.7109375" customWidth="1"/>
    <col min="19" max="19" width="20.7109375" customWidth="1"/>
    <col min="20" max="20" width="23.7109375" customWidth="1"/>
  </cols>
  <sheetData>
    <row r="1" spans="1:20" ht="20.100000000000001" customHeight="1" x14ac:dyDescent="0.25">
      <c r="A1" s="16" t="s">
        <v>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42" customHeight="1" x14ac:dyDescent="0.2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33</v>
      </c>
      <c r="T2" s="5" t="s">
        <v>34</v>
      </c>
    </row>
    <row r="3" spans="1:20" x14ac:dyDescent="0.25">
      <c r="A3" s="6" t="s">
        <v>35</v>
      </c>
      <c r="B3" s="7">
        <v>322157140</v>
      </c>
      <c r="C3" s="7">
        <v>174416163</v>
      </c>
      <c r="D3" s="7">
        <v>500092157</v>
      </c>
      <c r="E3" s="7">
        <v>529276608</v>
      </c>
      <c r="F3" s="7">
        <v>822249297</v>
      </c>
      <c r="G3" s="7">
        <v>703692771</v>
      </c>
      <c r="H3" s="8">
        <v>39.18</v>
      </c>
      <c r="I3" s="8">
        <v>24.79</v>
      </c>
      <c r="J3" s="7">
        <v>147740977</v>
      </c>
      <c r="K3" s="7">
        <v>29184451</v>
      </c>
      <c r="L3" s="7">
        <v>118556526</v>
      </c>
      <c r="M3" s="9">
        <v>1.0589999999999999</v>
      </c>
      <c r="N3" s="9">
        <v>0.4486</v>
      </c>
      <c r="O3" s="9">
        <v>0.61040000000000005</v>
      </c>
      <c r="P3" s="7">
        <v>0</v>
      </c>
      <c r="Q3" s="7">
        <v>118556526</v>
      </c>
      <c r="R3" s="8">
        <v>41.04</v>
      </c>
      <c r="S3" s="7">
        <v>288769622</v>
      </c>
      <c r="T3" s="7">
        <v>114353459</v>
      </c>
    </row>
    <row r="4" spans="1:20" x14ac:dyDescent="0.25">
      <c r="A4" s="10" t="s">
        <v>36</v>
      </c>
      <c r="B4" s="11">
        <v>262076653</v>
      </c>
      <c r="C4" s="11">
        <v>143936729</v>
      </c>
      <c r="D4" s="11">
        <v>277399788</v>
      </c>
      <c r="E4" s="11">
        <v>309895890</v>
      </c>
      <c r="F4" s="11">
        <v>539476441</v>
      </c>
      <c r="G4" s="11">
        <v>453832619</v>
      </c>
      <c r="H4" s="8">
        <v>48.58</v>
      </c>
      <c r="I4" s="8">
        <v>31.72</v>
      </c>
      <c r="J4" s="11">
        <v>118139924</v>
      </c>
      <c r="K4" s="11">
        <v>32496102</v>
      </c>
      <c r="L4" s="11">
        <v>85643822</v>
      </c>
      <c r="M4" s="12">
        <v>0.93320000000000003</v>
      </c>
      <c r="N4" s="12">
        <v>0.42880000000000001</v>
      </c>
      <c r="O4" s="12">
        <v>0.50439999999999996</v>
      </c>
      <c r="P4" s="11">
        <v>30141897</v>
      </c>
      <c r="Q4" s="11">
        <v>115785719</v>
      </c>
      <c r="R4" s="8">
        <v>50.11</v>
      </c>
      <c r="S4" s="11">
        <v>227436882</v>
      </c>
      <c r="T4" s="11">
        <v>83500153</v>
      </c>
    </row>
    <row r="5" spans="1:20" x14ac:dyDescent="0.25">
      <c r="A5" s="6" t="s">
        <v>37</v>
      </c>
      <c r="B5" s="7">
        <v>48479871</v>
      </c>
      <c r="C5" s="7">
        <v>23535283</v>
      </c>
      <c r="D5" s="7">
        <v>63351263</v>
      </c>
      <c r="E5" s="7">
        <v>55017658</v>
      </c>
      <c r="F5" s="7">
        <v>111831134</v>
      </c>
      <c r="G5" s="7">
        <v>78552941</v>
      </c>
      <c r="H5" s="8">
        <v>43.35</v>
      </c>
      <c r="I5" s="8">
        <v>29.96</v>
      </c>
      <c r="J5" s="7">
        <v>24944588</v>
      </c>
      <c r="K5" s="7">
        <v>0</v>
      </c>
      <c r="L5" s="7">
        <v>24944588</v>
      </c>
      <c r="M5" s="9">
        <v>2.9582000000000002</v>
      </c>
      <c r="N5" s="9">
        <v>2.1408</v>
      </c>
      <c r="O5" s="9">
        <v>0.8175</v>
      </c>
      <c r="P5" s="7">
        <v>0</v>
      </c>
      <c r="Q5" s="7">
        <v>24944588</v>
      </c>
      <c r="R5" s="8">
        <v>45.68</v>
      </c>
      <c r="S5" s="7">
        <v>35879170</v>
      </c>
      <c r="T5" s="7">
        <v>12343887</v>
      </c>
    </row>
    <row r="6" spans="1:20" x14ac:dyDescent="0.25">
      <c r="A6" s="10" t="s">
        <v>38</v>
      </c>
      <c r="B6" s="11">
        <v>310556524</v>
      </c>
      <c r="C6" s="11">
        <v>167472012</v>
      </c>
      <c r="D6" s="11">
        <v>340751051</v>
      </c>
      <c r="E6" s="11">
        <v>364913548</v>
      </c>
      <c r="F6" s="11">
        <v>651307575</v>
      </c>
      <c r="G6" s="11">
        <v>532385560</v>
      </c>
      <c r="H6" s="8">
        <v>47.68</v>
      </c>
      <c r="I6" s="8">
        <v>31.46</v>
      </c>
      <c r="J6" s="11">
        <v>143084512</v>
      </c>
      <c r="K6" s="11">
        <v>24162497</v>
      </c>
      <c r="L6" s="11">
        <v>118922015</v>
      </c>
      <c r="M6" s="12">
        <v>1.0448999999999999</v>
      </c>
      <c r="N6" s="12">
        <v>0.50370000000000004</v>
      </c>
      <c r="O6" s="12">
        <v>0.54120000000000001</v>
      </c>
      <c r="P6" s="11">
        <v>30356926</v>
      </c>
      <c r="Q6" s="11">
        <v>149278941</v>
      </c>
      <c r="R6" s="8">
        <v>49.39</v>
      </c>
      <c r="S6" s="11">
        <v>262968374</v>
      </c>
      <c r="T6" s="11">
        <v>95496362</v>
      </c>
    </row>
    <row r="7" spans="1:20" x14ac:dyDescent="0.25">
      <c r="A7" s="6" t="s">
        <v>39</v>
      </c>
      <c r="B7" s="7">
        <v>11497499</v>
      </c>
      <c r="C7" s="7">
        <v>6278232</v>
      </c>
      <c r="D7" s="7">
        <v>137354397</v>
      </c>
      <c r="E7" s="7">
        <v>148148009</v>
      </c>
      <c r="F7" s="7">
        <v>148851896</v>
      </c>
      <c r="G7" s="7">
        <v>154426241</v>
      </c>
      <c r="H7" s="8">
        <v>7.72</v>
      </c>
      <c r="I7" s="8">
        <v>4.07</v>
      </c>
      <c r="J7" s="7">
        <v>5219267</v>
      </c>
      <c r="K7" s="7">
        <v>10793612</v>
      </c>
      <c r="L7" s="7">
        <v>-5574345</v>
      </c>
      <c r="M7" s="9">
        <v>1.6669</v>
      </c>
      <c r="N7" s="9">
        <v>0.75490000000000002</v>
      </c>
      <c r="O7" s="9">
        <v>0.91200000000000003</v>
      </c>
      <c r="P7" s="7">
        <v>17730802</v>
      </c>
      <c r="Q7" s="7">
        <v>12156457</v>
      </c>
      <c r="R7" s="8">
        <v>7.61</v>
      </c>
      <c r="S7" s="7">
        <v>11755055</v>
      </c>
      <c r="T7" s="7">
        <v>5476823</v>
      </c>
    </row>
    <row r="8" spans="1:20" x14ac:dyDescent="0.25">
      <c r="A8" s="10" t="s">
        <v>40</v>
      </c>
      <c r="B8" s="11">
        <v>103117</v>
      </c>
      <c r="C8" s="11">
        <v>665919</v>
      </c>
      <c r="D8" s="11">
        <v>21986709</v>
      </c>
      <c r="E8" s="11">
        <v>16215051</v>
      </c>
      <c r="F8" s="11">
        <v>22089826</v>
      </c>
      <c r="G8" s="11">
        <v>16880970</v>
      </c>
      <c r="H8" s="8">
        <v>0.47</v>
      </c>
      <c r="I8" s="8">
        <v>3.94</v>
      </c>
      <c r="J8" s="11">
        <v>-562802</v>
      </c>
      <c r="K8" s="11">
        <v>0</v>
      </c>
      <c r="L8" s="11">
        <v>-562802</v>
      </c>
      <c r="M8" s="12">
        <v>1.2621</v>
      </c>
      <c r="N8" s="12">
        <v>8.5800000000000001E-2</v>
      </c>
      <c r="O8" s="12">
        <v>1.1763999999999999</v>
      </c>
      <c r="P8" s="11">
        <v>0</v>
      </c>
      <c r="Q8" s="11">
        <v>-562802</v>
      </c>
      <c r="R8" s="8">
        <v>3.63</v>
      </c>
      <c r="S8" s="11">
        <v>612293</v>
      </c>
      <c r="T8" s="11">
        <v>-53626</v>
      </c>
    </row>
    <row r="11" spans="1:20" x14ac:dyDescent="0.25">
      <c r="A11" s="22" t="s">
        <v>114</v>
      </c>
      <c r="B11" s="22"/>
      <c r="C11" s="22"/>
      <c r="D11" s="22"/>
      <c r="E11" s="22"/>
      <c r="F11" s="22"/>
      <c r="G11" s="22"/>
      <c r="H11" s="22"/>
      <c r="I11" s="22"/>
    </row>
    <row r="13" spans="1:20" x14ac:dyDescent="0.25">
      <c r="A13" s="23" t="s">
        <v>115</v>
      </c>
      <c r="B13" s="23"/>
      <c r="C13" s="23"/>
      <c r="D13" s="23"/>
    </row>
    <row r="14" spans="1:20" x14ac:dyDescent="0.25">
      <c r="A14" s="19" t="s">
        <v>15</v>
      </c>
      <c r="B14" s="18" t="s">
        <v>116</v>
      </c>
      <c r="C14" s="18" t="s">
        <v>117</v>
      </c>
      <c r="D14" s="18" t="s">
        <v>118</v>
      </c>
    </row>
    <row r="15" spans="1:20" x14ac:dyDescent="0.25">
      <c r="A15" s="10" t="str">
        <f>A4</f>
        <v>Madeira (CNAE 16)</v>
      </c>
      <c r="B15" s="17">
        <f>J4/1000000</f>
        <v>118.13992399999999</v>
      </c>
      <c r="C15" s="17">
        <f>L4/1000000</f>
        <v>85.643822</v>
      </c>
      <c r="D15" s="17">
        <f>Q4/1000000</f>
        <v>115.785719</v>
      </c>
    </row>
    <row r="16" spans="1:20" x14ac:dyDescent="0.25">
      <c r="A16" s="10" t="str">
        <f>A5</f>
        <v>Moveis (CNAE 31)</v>
      </c>
      <c r="B16" s="17">
        <f>J5/1000000</f>
        <v>24.944588</v>
      </c>
      <c r="C16" s="17">
        <f>L5/1000000</f>
        <v>24.944588</v>
      </c>
      <c r="D16" s="17">
        <f>Q5/1000000</f>
        <v>24.944588</v>
      </c>
    </row>
    <row r="17" spans="1:4" x14ac:dyDescent="0.25">
      <c r="A17" s="10" t="str">
        <f>A7</f>
        <v>Papel e Celulose (CNAE 17)</v>
      </c>
      <c r="B17" s="17">
        <f>J7/1000000</f>
        <v>5.2192670000000003</v>
      </c>
      <c r="C17" s="17">
        <f>L7/1000000</f>
        <v>-5.5743450000000001</v>
      </c>
      <c r="D17" s="17">
        <f>Q7/1000000</f>
        <v>12.156457</v>
      </c>
    </row>
    <row r="18" spans="1:4" x14ac:dyDescent="0.25">
      <c r="A18" s="10" t="str">
        <f>A8</f>
        <v>Base Florestal (CNAE 2)</v>
      </c>
      <c r="B18" s="17">
        <f>J8/1000000</f>
        <v>-0.56280200000000002</v>
      </c>
      <c r="C18" s="17">
        <f>L8/1000000</f>
        <v>-0.56280200000000002</v>
      </c>
      <c r="D18" s="17">
        <f>Q8/1000000</f>
        <v>-0.56280200000000002</v>
      </c>
    </row>
    <row r="42" spans="1:9" x14ac:dyDescent="0.25">
      <c r="A42" s="20" t="s">
        <v>119</v>
      </c>
      <c r="B42" s="20"/>
      <c r="C42" s="20"/>
      <c r="D42" s="20"/>
      <c r="E42" s="20"/>
      <c r="F42" s="20"/>
      <c r="G42" s="20"/>
      <c r="H42" s="20"/>
      <c r="I42" s="20"/>
    </row>
    <row r="43" spans="1:9" ht="230.1" customHeight="1" x14ac:dyDescent="0.25">
      <c r="A43" s="21" t="s">
        <v>120</v>
      </c>
      <c r="B43" s="21"/>
      <c r="C43" s="21"/>
      <c r="D43" s="21"/>
      <c r="E43" s="21"/>
      <c r="F43" s="21"/>
      <c r="G43" s="21"/>
      <c r="H43" s="21"/>
      <c r="I43" s="21"/>
    </row>
  </sheetData>
  <mergeCells count="5">
    <mergeCell ref="A1:T1"/>
    <mergeCell ref="A42:I42"/>
    <mergeCell ref="A43:I43"/>
    <mergeCell ref="A11:I11"/>
    <mergeCell ref="A13:D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40" sqref="M40"/>
    </sheetView>
  </sheetViews>
  <sheetFormatPr defaultRowHeight="15" x14ac:dyDescent="0.25"/>
  <cols>
    <col min="1" max="1" width="16.7109375" customWidth="1"/>
    <col min="2" max="3" width="15.7109375" customWidth="1"/>
    <col min="4" max="4" width="18.7109375" customWidth="1"/>
    <col min="5" max="6" width="21.7109375" customWidth="1"/>
    <col min="7" max="8" width="17.7109375" customWidth="1"/>
    <col min="9" max="9" width="18.7109375" customWidth="1"/>
    <col min="10" max="10" width="13.7109375" customWidth="1"/>
    <col min="11" max="11" width="16.7109375" customWidth="1"/>
    <col min="12" max="12" width="19.7109375" customWidth="1"/>
    <col min="13" max="13" width="18.7109375" customWidth="1"/>
  </cols>
  <sheetData>
    <row r="1" spans="1:13" ht="20.100000000000001" customHeight="1" x14ac:dyDescent="0.25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42" customHeight="1" x14ac:dyDescent="0.25">
      <c r="A2" s="5" t="s">
        <v>41</v>
      </c>
      <c r="B2" s="5" t="s">
        <v>42</v>
      </c>
      <c r="C2" s="5" t="s">
        <v>43</v>
      </c>
      <c r="D2" s="5" t="s">
        <v>44</v>
      </c>
      <c r="E2" s="5" t="s">
        <v>22</v>
      </c>
      <c r="F2" s="5" t="s">
        <v>23</v>
      </c>
      <c r="G2" s="5" t="s">
        <v>45</v>
      </c>
      <c r="H2" s="5" t="s">
        <v>46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51</v>
      </c>
    </row>
    <row r="3" spans="1:13" x14ac:dyDescent="0.25">
      <c r="A3" s="6" t="s">
        <v>52</v>
      </c>
      <c r="B3" s="7">
        <v>49392565</v>
      </c>
      <c r="C3" s="7">
        <v>21387307</v>
      </c>
      <c r="D3" s="13">
        <v>-56.7</v>
      </c>
      <c r="E3" s="8">
        <v>35.07</v>
      </c>
      <c r="F3" s="8">
        <v>17.96</v>
      </c>
      <c r="G3" s="7">
        <v>140857878</v>
      </c>
      <c r="H3" s="7">
        <v>119073057</v>
      </c>
      <c r="I3" s="7">
        <v>28005258</v>
      </c>
      <c r="J3" s="7">
        <v>6220437</v>
      </c>
      <c r="K3" s="7">
        <v>21784821</v>
      </c>
      <c r="L3" s="7">
        <v>0</v>
      </c>
      <c r="M3" s="7">
        <v>21784821</v>
      </c>
    </row>
    <row r="4" spans="1:13" x14ac:dyDescent="0.25">
      <c r="A4" s="10" t="s">
        <v>53</v>
      </c>
      <c r="B4" s="11">
        <v>59523906</v>
      </c>
      <c r="C4" s="11">
        <v>26945089</v>
      </c>
      <c r="D4" s="13">
        <v>-54.7</v>
      </c>
      <c r="E4" s="8">
        <v>37.42</v>
      </c>
      <c r="F4" s="8">
        <v>22</v>
      </c>
      <c r="G4" s="11">
        <v>159082566</v>
      </c>
      <c r="H4" s="11">
        <v>122457067</v>
      </c>
      <c r="I4" s="11">
        <v>32578817</v>
      </c>
      <c r="J4" s="11">
        <v>0</v>
      </c>
      <c r="K4" s="11">
        <v>32578817</v>
      </c>
      <c r="L4" s="11">
        <v>766385</v>
      </c>
      <c r="M4" s="11">
        <v>33345202</v>
      </c>
    </row>
    <row r="5" spans="1:13" x14ac:dyDescent="0.25">
      <c r="A5" s="6" t="s">
        <v>54</v>
      </c>
      <c r="B5" s="7">
        <v>71716294</v>
      </c>
      <c r="C5" s="7">
        <v>28861807</v>
      </c>
      <c r="D5" s="13">
        <v>-59.8</v>
      </c>
      <c r="E5" s="8">
        <v>41.75</v>
      </c>
      <c r="F5" s="8">
        <v>20.75</v>
      </c>
      <c r="G5" s="7">
        <v>171765775</v>
      </c>
      <c r="H5" s="7">
        <v>139100860</v>
      </c>
      <c r="I5" s="7">
        <v>42854487</v>
      </c>
      <c r="J5" s="7">
        <v>10189572</v>
      </c>
      <c r="K5" s="7">
        <v>32664915</v>
      </c>
      <c r="L5" s="7">
        <v>17112225</v>
      </c>
      <c r="M5" s="7">
        <v>49777140</v>
      </c>
    </row>
    <row r="6" spans="1:13" x14ac:dyDescent="0.25">
      <c r="A6" s="10" t="s">
        <v>55</v>
      </c>
      <c r="B6" s="11">
        <v>70304743</v>
      </c>
      <c r="C6" s="11">
        <v>47691681</v>
      </c>
      <c r="D6" s="13">
        <v>-32.200000000000003</v>
      </c>
      <c r="E6" s="8">
        <v>39.83</v>
      </c>
      <c r="F6" s="8">
        <v>29.77</v>
      </c>
      <c r="G6" s="11">
        <v>176527546</v>
      </c>
      <c r="H6" s="11">
        <v>160218276</v>
      </c>
      <c r="I6" s="11">
        <v>22613062</v>
      </c>
      <c r="J6" s="11">
        <v>6303792</v>
      </c>
      <c r="K6" s="11">
        <v>16309270</v>
      </c>
      <c r="L6" s="11">
        <v>0</v>
      </c>
      <c r="M6" s="11">
        <v>16309270</v>
      </c>
    </row>
    <row r="7" spans="1:13" x14ac:dyDescent="0.25">
      <c r="A7" s="6" t="s">
        <v>56</v>
      </c>
      <c r="B7" s="7">
        <v>71219632</v>
      </c>
      <c r="C7" s="7">
        <v>49530279</v>
      </c>
      <c r="D7" s="13">
        <v>-30.5</v>
      </c>
      <c r="E7" s="8">
        <v>40.93</v>
      </c>
      <c r="F7" s="8">
        <v>30.42</v>
      </c>
      <c r="G7" s="7">
        <v>174015532</v>
      </c>
      <c r="H7" s="7">
        <v>162843511</v>
      </c>
      <c r="I7" s="7">
        <v>21689353</v>
      </c>
      <c r="J7" s="7">
        <v>10517332</v>
      </c>
      <c r="K7" s="7">
        <v>11172021</v>
      </c>
      <c r="L7" s="7">
        <v>0</v>
      </c>
      <c r="M7" s="7">
        <v>11172021</v>
      </c>
    </row>
    <row r="8" spans="1:13" x14ac:dyDescent="0.25">
      <c r="A8" s="10" t="s">
        <v>57</v>
      </c>
      <c r="B8" s="11">
        <v>322157140</v>
      </c>
      <c r="C8" s="11">
        <v>174416163</v>
      </c>
      <c r="D8" s="13">
        <v>-45.9</v>
      </c>
      <c r="E8" s="8">
        <v>39.18</v>
      </c>
      <c r="F8" s="8">
        <v>24.79</v>
      </c>
      <c r="G8" s="11">
        <v>822249297</v>
      </c>
      <c r="H8" s="11">
        <v>703692771</v>
      </c>
      <c r="I8" s="11">
        <v>147740977</v>
      </c>
      <c r="J8" s="11">
        <v>33231133</v>
      </c>
      <c r="K8" s="11">
        <v>114509844</v>
      </c>
      <c r="L8" s="11">
        <v>17878610</v>
      </c>
      <c r="M8" s="11">
        <v>132388454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5" sqref="C35"/>
    </sheetView>
  </sheetViews>
  <sheetFormatPr defaultRowHeight="15" x14ac:dyDescent="0.25"/>
  <cols>
    <col min="1" max="1" width="29.7109375" customWidth="1"/>
    <col min="2" max="2" width="17.7109375" customWidth="1"/>
    <col min="3" max="3" width="16.7109375" customWidth="1"/>
    <col min="4" max="4" width="19.7109375" customWidth="1"/>
    <col min="5" max="5" width="20.7109375" customWidth="1"/>
    <col min="6" max="6" width="13.7109375" customWidth="1"/>
    <col min="7" max="7" width="14.7109375" customWidth="1"/>
    <col min="8" max="8" width="17.7109375" customWidth="1"/>
  </cols>
  <sheetData>
    <row r="1" spans="1:8" ht="20.100000000000001" customHeight="1" x14ac:dyDescent="0.25">
      <c r="A1" s="16" t="s">
        <v>10</v>
      </c>
      <c r="B1" s="16"/>
      <c r="C1" s="16"/>
      <c r="D1" s="16"/>
      <c r="E1" s="16"/>
      <c r="F1" s="16"/>
      <c r="G1" s="16"/>
      <c r="H1" s="16"/>
    </row>
    <row r="2" spans="1:8" ht="42" customHeight="1" x14ac:dyDescent="0.25">
      <c r="A2" s="5" t="s">
        <v>15</v>
      </c>
      <c r="B2" s="5" t="s">
        <v>58</v>
      </c>
      <c r="C2" s="5" t="s">
        <v>59</v>
      </c>
      <c r="D2" s="5" t="s">
        <v>60</v>
      </c>
      <c r="E2" s="5" t="s">
        <v>29</v>
      </c>
      <c r="F2" s="5" t="s">
        <v>61</v>
      </c>
      <c r="G2" s="5" t="s">
        <v>62</v>
      </c>
      <c r="H2" s="5" t="s">
        <v>63</v>
      </c>
    </row>
    <row r="3" spans="1:8" x14ac:dyDescent="0.25">
      <c r="A3" s="6" t="s">
        <v>35</v>
      </c>
      <c r="B3" s="6" t="s">
        <v>64</v>
      </c>
      <c r="C3" s="9">
        <v>1.2014</v>
      </c>
      <c r="D3" s="9">
        <v>0.45300000000000001</v>
      </c>
      <c r="E3" s="9">
        <v>0.74839999999999995</v>
      </c>
      <c r="F3" s="8">
        <v>165.2</v>
      </c>
      <c r="G3" s="7">
        <v>792734260</v>
      </c>
      <c r="H3" s="7">
        <v>1139052620</v>
      </c>
    </row>
    <row r="4" spans="1:8" x14ac:dyDescent="0.25">
      <c r="A4" s="10" t="s">
        <v>35</v>
      </c>
      <c r="B4" s="10" t="s">
        <v>65</v>
      </c>
      <c r="C4" s="12">
        <v>1.0815999999999999</v>
      </c>
      <c r="D4" s="12">
        <v>0.46539999999999998</v>
      </c>
      <c r="E4" s="12">
        <v>0.61619999999999997</v>
      </c>
      <c r="F4" s="8">
        <v>132.4</v>
      </c>
      <c r="G4" s="11">
        <v>618390625</v>
      </c>
      <c r="H4" s="11">
        <v>1226977084</v>
      </c>
    </row>
    <row r="5" spans="1:8" x14ac:dyDescent="0.25">
      <c r="A5" s="6" t="s">
        <v>35</v>
      </c>
      <c r="B5" s="6" t="s">
        <v>66</v>
      </c>
      <c r="C5" s="9">
        <v>1.0245</v>
      </c>
      <c r="D5" s="9">
        <v>0.47670000000000001</v>
      </c>
      <c r="E5" s="9">
        <v>0.54769999999999996</v>
      </c>
      <c r="F5" s="8">
        <v>114.9</v>
      </c>
      <c r="G5" s="7">
        <v>174416163</v>
      </c>
      <c r="H5" s="7">
        <v>529276608</v>
      </c>
    </row>
    <row r="6" spans="1:8" x14ac:dyDescent="0.25">
      <c r="A6" s="10" t="s">
        <v>36</v>
      </c>
      <c r="B6" s="10" t="s">
        <v>64</v>
      </c>
      <c r="C6" s="12">
        <v>1.0734999999999999</v>
      </c>
      <c r="D6" s="12">
        <v>0.43659999999999999</v>
      </c>
      <c r="E6" s="12">
        <v>0.63680000000000003</v>
      </c>
      <c r="F6" s="8">
        <v>145.9</v>
      </c>
      <c r="G6" s="11">
        <v>650820240</v>
      </c>
      <c r="H6" s="11">
        <v>647840960</v>
      </c>
    </row>
    <row r="7" spans="1:8" x14ac:dyDescent="0.25">
      <c r="A7" s="6" t="s">
        <v>36</v>
      </c>
      <c r="B7" s="6" t="s">
        <v>65</v>
      </c>
      <c r="C7" s="9">
        <v>0.94189999999999996</v>
      </c>
      <c r="D7" s="9">
        <v>0.43430000000000002</v>
      </c>
      <c r="E7" s="9">
        <v>0.50749999999999995</v>
      </c>
      <c r="F7" s="8">
        <v>116.8</v>
      </c>
      <c r="G7" s="7">
        <v>493111088</v>
      </c>
      <c r="H7" s="7">
        <v>678904752</v>
      </c>
    </row>
    <row r="8" spans="1:8" x14ac:dyDescent="0.25">
      <c r="A8" s="10" t="s">
        <v>36</v>
      </c>
      <c r="B8" s="10" t="s">
        <v>66</v>
      </c>
      <c r="C8" s="12">
        <v>0.91830000000000001</v>
      </c>
      <c r="D8" s="12">
        <v>0.4385</v>
      </c>
      <c r="E8" s="12">
        <v>0.4798</v>
      </c>
      <c r="F8" s="8">
        <v>109.4</v>
      </c>
      <c r="G8" s="11">
        <v>143936729</v>
      </c>
      <c r="H8" s="11">
        <v>309895890</v>
      </c>
    </row>
    <row r="9" spans="1:8" x14ac:dyDescent="0.25">
      <c r="A9" s="6" t="s">
        <v>37</v>
      </c>
      <c r="B9" s="6" t="s">
        <v>64</v>
      </c>
      <c r="C9" s="9">
        <v>3.0735000000000001</v>
      </c>
      <c r="D9" s="9">
        <v>2.1156999999999999</v>
      </c>
      <c r="E9" s="9">
        <v>0.95779999999999998</v>
      </c>
      <c r="F9" s="8">
        <v>45.3</v>
      </c>
      <c r="G9" s="7">
        <v>114887986</v>
      </c>
      <c r="H9" s="7">
        <v>136644842</v>
      </c>
    </row>
    <row r="10" spans="1:8" x14ac:dyDescent="0.25">
      <c r="A10" s="10" t="s">
        <v>37</v>
      </c>
      <c r="B10" s="10" t="s">
        <v>65</v>
      </c>
      <c r="C10" s="12">
        <v>2.9809999999999999</v>
      </c>
      <c r="D10" s="12">
        <v>2.1337000000000002</v>
      </c>
      <c r="E10" s="12">
        <v>0.84730000000000005</v>
      </c>
      <c r="F10" s="8">
        <v>39.700000000000003</v>
      </c>
      <c r="G10" s="11">
        <v>100771475</v>
      </c>
      <c r="H10" s="11">
        <v>152421978</v>
      </c>
    </row>
    <row r="11" spans="1:8" x14ac:dyDescent="0.25">
      <c r="A11" s="6" t="s">
        <v>37</v>
      </c>
      <c r="B11" s="6" t="s">
        <v>66</v>
      </c>
      <c r="C11" s="9">
        <v>2.9365000000000001</v>
      </c>
      <c r="D11" s="9">
        <v>2.1217999999999999</v>
      </c>
      <c r="E11" s="9">
        <v>0.81469999999999998</v>
      </c>
      <c r="F11" s="8">
        <v>38.4</v>
      </c>
      <c r="G11" s="7">
        <v>23535283</v>
      </c>
      <c r="H11" s="7">
        <v>55017658</v>
      </c>
    </row>
    <row r="12" spans="1:8" x14ac:dyDescent="0.25">
      <c r="A12" s="10" t="s">
        <v>38</v>
      </c>
      <c r="B12" s="10" t="s">
        <v>64</v>
      </c>
      <c r="C12" s="12">
        <v>1.1896</v>
      </c>
      <c r="D12" s="12">
        <v>0.50670000000000004</v>
      </c>
      <c r="E12" s="12">
        <v>0.68300000000000005</v>
      </c>
      <c r="F12" s="8">
        <v>134.80000000000001</v>
      </c>
      <c r="G12" s="11">
        <v>765708226</v>
      </c>
      <c r="H12" s="11">
        <v>784485802</v>
      </c>
    </row>
    <row r="13" spans="1:8" x14ac:dyDescent="0.25">
      <c r="A13" s="6" t="s">
        <v>38</v>
      </c>
      <c r="B13" s="6" t="s">
        <v>65</v>
      </c>
      <c r="C13" s="9">
        <v>1.0654999999999999</v>
      </c>
      <c r="D13" s="9">
        <v>0.50860000000000005</v>
      </c>
      <c r="E13" s="9">
        <v>0.55689999999999995</v>
      </c>
      <c r="F13" s="8">
        <v>109.5</v>
      </c>
      <c r="G13" s="7">
        <v>593882563</v>
      </c>
      <c r="H13" s="7">
        <v>831326730</v>
      </c>
    </row>
    <row r="14" spans="1:8" x14ac:dyDescent="0.25">
      <c r="A14" s="10" t="s">
        <v>38</v>
      </c>
      <c r="B14" s="10" t="s">
        <v>66</v>
      </c>
      <c r="C14" s="12">
        <v>1.0164</v>
      </c>
      <c r="D14" s="12">
        <v>0.49809999999999999</v>
      </c>
      <c r="E14" s="12">
        <v>0.51839999999999997</v>
      </c>
      <c r="F14" s="8">
        <v>104.1</v>
      </c>
      <c r="G14" s="11">
        <v>167472012</v>
      </c>
      <c r="H14" s="11">
        <v>364913548</v>
      </c>
    </row>
    <row r="15" spans="1:8" x14ac:dyDescent="0.25">
      <c r="A15" s="6" t="s">
        <v>39</v>
      </c>
      <c r="B15" s="6" t="s">
        <v>64</v>
      </c>
      <c r="C15" s="9">
        <v>1.5992999999999999</v>
      </c>
      <c r="D15" s="9">
        <v>0.76380000000000003</v>
      </c>
      <c r="E15" s="9">
        <v>0.83550000000000002</v>
      </c>
      <c r="F15" s="8">
        <v>109.4</v>
      </c>
      <c r="G15" s="7">
        <v>25186395</v>
      </c>
      <c r="H15" s="7">
        <v>305687469</v>
      </c>
    </row>
    <row r="16" spans="1:8" x14ac:dyDescent="0.25">
      <c r="A16" s="10" t="s">
        <v>39</v>
      </c>
      <c r="B16" s="10" t="s">
        <v>65</v>
      </c>
      <c r="C16" s="12">
        <v>1.6395999999999999</v>
      </c>
      <c r="D16" s="12">
        <v>0.75649999999999995</v>
      </c>
      <c r="E16" s="12">
        <v>0.8831</v>
      </c>
      <c r="F16" s="8">
        <v>116.7</v>
      </c>
      <c r="G16" s="11">
        <v>23149768</v>
      </c>
      <c r="H16" s="11">
        <v>347987016</v>
      </c>
    </row>
    <row r="17" spans="1:8" x14ac:dyDescent="0.25">
      <c r="A17" s="6" t="s">
        <v>39</v>
      </c>
      <c r="B17" s="6" t="s">
        <v>66</v>
      </c>
      <c r="C17" s="9">
        <v>1.1496999999999999</v>
      </c>
      <c r="D17" s="9">
        <v>0.73560000000000003</v>
      </c>
      <c r="E17" s="9">
        <v>0.41410000000000002</v>
      </c>
      <c r="F17" s="8">
        <v>56.3</v>
      </c>
      <c r="G17" s="7">
        <v>6278232</v>
      </c>
      <c r="H17" s="7">
        <v>148148009</v>
      </c>
    </row>
    <row r="18" spans="1:8" x14ac:dyDescent="0.25">
      <c r="A18" s="10" t="s">
        <v>40</v>
      </c>
      <c r="B18" s="10" t="s">
        <v>64</v>
      </c>
      <c r="C18" s="12">
        <v>4.1227</v>
      </c>
      <c r="D18" s="12">
        <v>8.6300000000000002E-2</v>
      </c>
      <c r="E18" s="12">
        <v>4.0364000000000004</v>
      </c>
      <c r="F18" s="8">
        <v>4674.5</v>
      </c>
      <c r="G18" s="11">
        <v>1839639</v>
      </c>
      <c r="H18" s="11">
        <v>48879349</v>
      </c>
    </row>
    <row r="19" spans="1:8" x14ac:dyDescent="0.25">
      <c r="A19" s="6" t="s">
        <v>40</v>
      </c>
      <c r="B19" s="6" t="s">
        <v>65</v>
      </c>
      <c r="C19" s="9">
        <v>4.9854000000000003</v>
      </c>
      <c r="D19" s="9">
        <v>8.7999999999999995E-2</v>
      </c>
      <c r="E19" s="9">
        <v>4.8974000000000002</v>
      </c>
      <c r="F19" s="8">
        <v>5565.9</v>
      </c>
      <c r="G19" s="7">
        <v>1358294</v>
      </c>
      <c r="H19" s="7">
        <v>47663338</v>
      </c>
    </row>
    <row r="20" spans="1:8" x14ac:dyDescent="0.25">
      <c r="A20" s="10" t="s">
        <v>40</v>
      </c>
      <c r="B20" s="10" t="s">
        <v>66</v>
      </c>
      <c r="C20" s="12">
        <v>26.0654</v>
      </c>
      <c r="D20" s="12">
        <v>9.1999999999999998E-2</v>
      </c>
      <c r="E20" s="12">
        <v>25.973400000000002</v>
      </c>
      <c r="F20" s="8">
        <v>28219.9</v>
      </c>
      <c r="G20" s="11">
        <v>665919</v>
      </c>
      <c r="H20" s="11">
        <v>16215051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I1"/>
    </sheetView>
  </sheetViews>
  <sheetFormatPr defaultRowHeight="15" x14ac:dyDescent="0.25"/>
  <cols>
    <col min="1" max="1" width="29.7109375" customWidth="1"/>
    <col min="2" max="2" width="40.7109375" customWidth="1"/>
    <col min="3" max="3" width="25.7109375" customWidth="1"/>
    <col min="4" max="4" width="24.7109375" customWidth="1"/>
    <col min="5" max="5" width="22.7109375" customWidth="1"/>
    <col min="6" max="7" width="28.7109375" customWidth="1"/>
    <col min="8" max="8" width="23.7109375" customWidth="1"/>
    <col min="9" max="9" width="29.7109375" customWidth="1"/>
  </cols>
  <sheetData>
    <row r="1" spans="1:9" ht="20.100000000000001" customHeight="1" x14ac:dyDescent="0.25">
      <c r="A1" s="16" t="s">
        <v>12</v>
      </c>
      <c r="B1" s="16"/>
      <c r="C1" s="16"/>
      <c r="D1" s="16"/>
      <c r="E1" s="16"/>
      <c r="F1" s="16"/>
      <c r="G1" s="16"/>
      <c r="H1" s="16"/>
      <c r="I1" s="16"/>
    </row>
    <row r="2" spans="1:9" ht="42" customHeight="1" x14ac:dyDescent="0.25">
      <c r="A2" s="5" t="s">
        <v>15</v>
      </c>
      <c r="B2" s="5" t="s">
        <v>67</v>
      </c>
      <c r="C2" s="5" t="s">
        <v>68</v>
      </c>
      <c r="D2" s="5" t="s">
        <v>69</v>
      </c>
      <c r="E2" s="5" t="s">
        <v>70</v>
      </c>
      <c r="F2" s="5" t="s">
        <v>71</v>
      </c>
      <c r="G2" s="5" t="s">
        <v>72</v>
      </c>
      <c r="H2" s="5" t="s">
        <v>73</v>
      </c>
      <c r="I2" s="5" t="s">
        <v>74</v>
      </c>
    </row>
    <row r="3" spans="1:9" x14ac:dyDescent="0.25">
      <c r="A3" s="6" t="s">
        <v>35</v>
      </c>
      <c r="B3" s="6" t="s">
        <v>75</v>
      </c>
      <c r="C3" s="8">
        <v>39.18</v>
      </c>
      <c r="D3" s="7">
        <v>703692771</v>
      </c>
      <c r="E3" s="7">
        <v>174416163</v>
      </c>
      <c r="F3" s="8">
        <v>24.79</v>
      </c>
      <c r="G3" s="7">
        <v>275706713</v>
      </c>
      <c r="H3" s="7">
        <v>101290550</v>
      </c>
      <c r="I3" s="8">
        <v>14.39</v>
      </c>
    </row>
    <row r="4" spans="1:9" x14ac:dyDescent="0.25">
      <c r="A4" s="10" t="s">
        <v>35</v>
      </c>
      <c r="B4" s="10" t="s">
        <v>76</v>
      </c>
      <c r="C4" s="8">
        <v>41.04</v>
      </c>
      <c r="D4" s="11">
        <v>703692771</v>
      </c>
      <c r="E4" s="11">
        <v>174416163</v>
      </c>
      <c r="F4" s="8">
        <v>24.79</v>
      </c>
      <c r="G4" s="11">
        <v>288769622</v>
      </c>
      <c r="H4" s="11">
        <v>114353459</v>
      </c>
      <c r="I4" s="8">
        <v>16.25</v>
      </c>
    </row>
    <row r="5" spans="1:9" x14ac:dyDescent="0.25">
      <c r="A5" s="6" t="s">
        <v>35</v>
      </c>
      <c r="B5" s="6" t="s">
        <v>77</v>
      </c>
      <c r="C5" s="8">
        <v>41.06</v>
      </c>
      <c r="D5" s="7">
        <v>703692771</v>
      </c>
      <c r="E5" s="7">
        <v>174416163</v>
      </c>
      <c r="F5" s="8">
        <v>24.79</v>
      </c>
      <c r="G5" s="7">
        <v>288964599</v>
      </c>
      <c r="H5" s="7">
        <v>114548436</v>
      </c>
      <c r="I5" s="8">
        <v>16.28</v>
      </c>
    </row>
    <row r="6" spans="1:9" x14ac:dyDescent="0.25">
      <c r="A6" s="10" t="s">
        <v>36</v>
      </c>
      <c r="B6" s="10" t="s">
        <v>75</v>
      </c>
      <c r="C6" s="8">
        <v>48.58</v>
      </c>
      <c r="D6" s="11">
        <v>453832619</v>
      </c>
      <c r="E6" s="11">
        <v>143936729</v>
      </c>
      <c r="F6" s="8">
        <v>31.72</v>
      </c>
      <c r="G6" s="11">
        <v>220471043</v>
      </c>
      <c r="H6" s="11">
        <v>76534314</v>
      </c>
      <c r="I6" s="8">
        <v>16.86</v>
      </c>
    </row>
    <row r="7" spans="1:9" x14ac:dyDescent="0.25">
      <c r="A7" s="6" t="s">
        <v>36</v>
      </c>
      <c r="B7" s="6" t="s">
        <v>76</v>
      </c>
      <c r="C7" s="8">
        <v>50.11</v>
      </c>
      <c r="D7" s="7">
        <v>453832619</v>
      </c>
      <c r="E7" s="7">
        <v>143936729</v>
      </c>
      <c r="F7" s="8">
        <v>31.72</v>
      </c>
      <c r="G7" s="7">
        <v>227436882</v>
      </c>
      <c r="H7" s="7">
        <v>83500153</v>
      </c>
      <c r="I7" s="8">
        <v>18.399999999999999</v>
      </c>
    </row>
    <row r="8" spans="1:9" x14ac:dyDescent="0.25">
      <c r="A8" s="10" t="s">
        <v>36</v>
      </c>
      <c r="B8" s="10" t="s">
        <v>77</v>
      </c>
      <c r="C8" s="8">
        <v>50.65</v>
      </c>
      <c r="D8" s="11">
        <v>453832619</v>
      </c>
      <c r="E8" s="11">
        <v>143936729</v>
      </c>
      <c r="F8" s="8">
        <v>31.72</v>
      </c>
      <c r="G8" s="11">
        <v>229855654</v>
      </c>
      <c r="H8" s="11">
        <v>85918925</v>
      </c>
      <c r="I8" s="8">
        <v>18.93</v>
      </c>
    </row>
    <row r="9" spans="1:9" x14ac:dyDescent="0.25">
      <c r="A9" s="6" t="s">
        <v>37</v>
      </c>
      <c r="B9" s="6" t="s">
        <v>75</v>
      </c>
      <c r="C9" s="8">
        <v>43.35</v>
      </c>
      <c r="D9" s="7">
        <v>78552941</v>
      </c>
      <c r="E9" s="7">
        <v>23535283</v>
      </c>
      <c r="F9" s="8">
        <v>29.96</v>
      </c>
      <c r="G9" s="7">
        <v>34053455</v>
      </c>
      <c r="H9" s="7">
        <v>10518172</v>
      </c>
      <c r="I9" s="8">
        <v>13.39</v>
      </c>
    </row>
    <row r="10" spans="1:9" x14ac:dyDescent="0.25">
      <c r="A10" s="10" t="s">
        <v>37</v>
      </c>
      <c r="B10" s="10" t="s">
        <v>76</v>
      </c>
      <c r="C10" s="8">
        <v>45.68</v>
      </c>
      <c r="D10" s="11">
        <v>78552941</v>
      </c>
      <c r="E10" s="11">
        <v>23535283</v>
      </c>
      <c r="F10" s="8">
        <v>29.96</v>
      </c>
      <c r="G10" s="11">
        <v>35879170</v>
      </c>
      <c r="H10" s="11">
        <v>12343887</v>
      </c>
      <c r="I10" s="8">
        <v>15.71</v>
      </c>
    </row>
    <row r="11" spans="1:9" x14ac:dyDescent="0.25">
      <c r="A11" s="6" t="s">
        <v>37</v>
      </c>
      <c r="B11" s="6" t="s">
        <v>77</v>
      </c>
      <c r="C11" s="8">
        <v>47.64</v>
      </c>
      <c r="D11" s="7">
        <v>78552941</v>
      </c>
      <c r="E11" s="7">
        <v>23535283</v>
      </c>
      <c r="F11" s="8">
        <v>29.96</v>
      </c>
      <c r="G11" s="7">
        <v>37422261</v>
      </c>
      <c r="H11" s="7">
        <v>13886978</v>
      </c>
      <c r="I11" s="8">
        <v>17.68</v>
      </c>
    </row>
    <row r="12" spans="1:9" x14ac:dyDescent="0.25">
      <c r="A12" s="10" t="s">
        <v>38</v>
      </c>
      <c r="B12" s="10" t="s">
        <v>75</v>
      </c>
      <c r="C12" s="8">
        <v>47.68</v>
      </c>
      <c r="D12" s="11">
        <v>532385560</v>
      </c>
      <c r="E12" s="11">
        <v>167472012</v>
      </c>
      <c r="F12" s="8">
        <v>31.46</v>
      </c>
      <c r="G12" s="11">
        <v>253852120</v>
      </c>
      <c r="H12" s="11">
        <v>86380108</v>
      </c>
      <c r="I12" s="8">
        <v>16.23</v>
      </c>
    </row>
    <row r="13" spans="1:9" x14ac:dyDescent="0.25">
      <c r="A13" s="6" t="s">
        <v>38</v>
      </c>
      <c r="B13" s="6" t="s">
        <v>76</v>
      </c>
      <c r="C13" s="8">
        <v>49.39</v>
      </c>
      <c r="D13" s="7">
        <v>532385560</v>
      </c>
      <c r="E13" s="7">
        <v>167472012</v>
      </c>
      <c r="F13" s="8">
        <v>31.46</v>
      </c>
      <c r="G13" s="7">
        <v>262968374</v>
      </c>
      <c r="H13" s="7">
        <v>95496362</v>
      </c>
      <c r="I13" s="8">
        <v>17.940000000000001</v>
      </c>
    </row>
    <row r="14" spans="1:9" x14ac:dyDescent="0.25">
      <c r="A14" s="10" t="s">
        <v>38</v>
      </c>
      <c r="B14" s="10" t="s">
        <v>77</v>
      </c>
      <c r="C14" s="8">
        <v>50.09</v>
      </c>
      <c r="D14" s="11">
        <v>532385560</v>
      </c>
      <c r="E14" s="11">
        <v>167472012</v>
      </c>
      <c r="F14" s="8">
        <v>31.46</v>
      </c>
      <c r="G14" s="11">
        <v>266665798</v>
      </c>
      <c r="H14" s="11">
        <v>99193786</v>
      </c>
      <c r="I14" s="8">
        <v>18.63</v>
      </c>
    </row>
    <row r="15" spans="1:9" x14ac:dyDescent="0.25">
      <c r="A15" s="6" t="s">
        <v>39</v>
      </c>
      <c r="B15" s="6" t="s">
        <v>75</v>
      </c>
      <c r="C15" s="8">
        <v>7.72</v>
      </c>
      <c r="D15" s="7">
        <v>154426241</v>
      </c>
      <c r="E15" s="7">
        <v>6278232</v>
      </c>
      <c r="F15" s="8">
        <v>4.07</v>
      </c>
      <c r="G15" s="7">
        <v>11928068</v>
      </c>
      <c r="H15" s="7">
        <v>5649836</v>
      </c>
      <c r="I15" s="8">
        <v>3.66</v>
      </c>
    </row>
    <row r="16" spans="1:9" x14ac:dyDescent="0.25">
      <c r="A16" s="10" t="s">
        <v>39</v>
      </c>
      <c r="B16" s="10" t="s">
        <v>76</v>
      </c>
      <c r="C16" s="8">
        <v>7.61</v>
      </c>
      <c r="D16" s="11">
        <v>154426241</v>
      </c>
      <c r="E16" s="11">
        <v>6278232</v>
      </c>
      <c r="F16" s="8">
        <v>4.07</v>
      </c>
      <c r="G16" s="11">
        <v>11755055</v>
      </c>
      <c r="H16" s="11">
        <v>5476823</v>
      </c>
      <c r="I16" s="8">
        <v>3.55</v>
      </c>
    </row>
    <row r="17" spans="1:9" x14ac:dyDescent="0.25">
      <c r="A17" s="6" t="s">
        <v>39</v>
      </c>
      <c r="B17" s="6" t="s">
        <v>77</v>
      </c>
      <c r="C17" s="8">
        <v>10.35</v>
      </c>
      <c r="D17" s="7">
        <v>154426241</v>
      </c>
      <c r="E17" s="7">
        <v>6278232</v>
      </c>
      <c r="F17" s="8">
        <v>4.07</v>
      </c>
      <c r="G17" s="7">
        <v>15990202</v>
      </c>
      <c r="H17" s="7">
        <v>9711970</v>
      </c>
      <c r="I17" s="8">
        <v>6.29</v>
      </c>
    </row>
    <row r="18" spans="1:9" x14ac:dyDescent="0.25">
      <c r="A18" s="10" t="s">
        <v>40</v>
      </c>
      <c r="B18" s="10" t="s">
        <v>75</v>
      </c>
      <c r="C18" s="8">
        <v>0.47</v>
      </c>
      <c r="D18" s="11">
        <v>16880970</v>
      </c>
      <c r="E18" s="11">
        <v>665919</v>
      </c>
      <c r="F18" s="8">
        <v>3.94</v>
      </c>
      <c r="G18" s="11">
        <v>78802</v>
      </c>
      <c r="H18" s="11">
        <v>-587117</v>
      </c>
      <c r="I18" s="13">
        <v>-3.48</v>
      </c>
    </row>
    <row r="19" spans="1:9" x14ac:dyDescent="0.25">
      <c r="A19" s="6" t="s">
        <v>40</v>
      </c>
      <c r="B19" s="6" t="s">
        <v>76</v>
      </c>
      <c r="C19" s="8">
        <v>3.63</v>
      </c>
      <c r="D19" s="7">
        <v>16880970</v>
      </c>
      <c r="E19" s="7">
        <v>665919</v>
      </c>
      <c r="F19" s="8">
        <v>3.94</v>
      </c>
      <c r="G19" s="7">
        <v>612293</v>
      </c>
      <c r="H19" s="7">
        <v>-53626</v>
      </c>
      <c r="I19" s="13">
        <v>-0.32</v>
      </c>
    </row>
    <row r="20" spans="1:9" x14ac:dyDescent="0.25">
      <c r="A20" s="10" t="s">
        <v>40</v>
      </c>
      <c r="B20" s="10" t="s">
        <v>77</v>
      </c>
      <c r="C20" s="8">
        <v>3.81</v>
      </c>
      <c r="D20" s="11">
        <v>16880970</v>
      </c>
      <c r="E20" s="11">
        <v>665919</v>
      </c>
      <c r="F20" s="8">
        <v>3.94</v>
      </c>
      <c r="G20" s="11">
        <v>642960</v>
      </c>
      <c r="H20" s="11">
        <v>-22959</v>
      </c>
      <c r="I20" s="13">
        <v>-0.14000000000000001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I1"/>
    </sheetView>
  </sheetViews>
  <sheetFormatPr defaultRowHeight="15" x14ac:dyDescent="0.25"/>
  <cols>
    <col min="1" max="1" width="16.7109375" customWidth="1"/>
    <col min="2" max="3" width="13.7109375" customWidth="1"/>
    <col min="4" max="4" width="16.7109375" customWidth="1"/>
    <col min="5" max="5" width="12.7109375" customWidth="1"/>
    <col min="6" max="7" width="17.7109375" customWidth="1"/>
    <col min="8" max="8" width="13.7109375" customWidth="1"/>
    <col min="9" max="9" width="16.7109375" customWidth="1"/>
  </cols>
  <sheetData>
    <row r="1" spans="1:9" ht="20.100000000000001" customHeight="1" x14ac:dyDescent="0.25">
      <c r="A1" s="16" t="s">
        <v>14</v>
      </c>
      <c r="B1" s="16"/>
      <c r="C1" s="16"/>
      <c r="D1" s="16"/>
      <c r="E1" s="16"/>
      <c r="F1" s="16"/>
      <c r="G1" s="16"/>
      <c r="H1" s="16"/>
      <c r="I1" s="16"/>
    </row>
    <row r="2" spans="1:9" ht="42" customHeight="1" x14ac:dyDescent="0.25">
      <c r="A2" s="5" t="s">
        <v>78</v>
      </c>
      <c r="B2" s="5" t="s">
        <v>79</v>
      </c>
      <c r="C2" s="5" t="s">
        <v>80</v>
      </c>
      <c r="D2" s="5" t="s">
        <v>81</v>
      </c>
      <c r="E2" s="5" t="s">
        <v>82</v>
      </c>
      <c r="F2" s="5" t="s">
        <v>83</v>
      </c>
      <c r="G2" s="5" t="s">
        <v>84</v>
      </c>
      <c r="H2" s="5" t="s">
        <v>85</v>
      </c>
      <c r="I2" s="5" t="s">
        <v>86</v>
      </c>
    </row>
    <row r="3" spans="1:9" x14ac:dyDescent="0.25">
      <c r="A3" s="6" t="s">
        <v>87</v>
      </c>
      <c r="B3" s="7">
        <v>20084103</v>
      </c>
      <c r="C3" s="7">
        <v>36999249</v>
      </c>
      <c r="D3" s="7">
        <v>16915146</v>
      </c>
      <c r="E3" s="8">
        <v>84.2</v>
      </c>
      <c r="F3" s="9">
        <v>0.27260000000000001</v>
      </c>
      <c r="G3" s="9">
        <v>0.29930000000000001</v>
      </c>
      <c r="H3" s="8">
        <v>9.8000000000000007</v>
      </c>
      <c r="I3" s="6" t="s">
        <v>88</v>
      </c>
    </row>
    <row r="4" spans="1:9" x14ac:dyDescent="0.25">
      <c r="A4" s="10" t="s">
        <v>89</v>
      </c>
      <c r="B4" s="11">
        <v>38323387</v>
      </c>
      <c r="C4" s="11">
        <v>53568518</v>
      </c>
      <c r="D4" s="11">
        <v>15245131</v>
      </c>
      <c r="E4" s="8">
        <v>39.799999999999997</v>
      </c>
      <c r="F4" s="12">
        <v>0.57809999999999995</v>
      </c>
      <c r="G4" s="12">
        <v>0.52859999999999996</v>
      </c>
      <c r="H4" s="13">
        <v>-8.6</v>
      </c>
      <c r="I4" s="10" t="s">
        <v>88</v>
      </c>
    </row>
    <row r="5" spans="1:9" x14ac:dyDescent="0.25">
      <c r="A5" s="6" t="s">
        <v>90</v>
      </c>
      <c r="B5" s="7">
        <v>11405780</v>
      </c>
      <c r="C5" s="7">
        <v>21898854</v>
      </c>
      <c r="D5" s="7">
        <v>10493074</v>
      </c>
      <c r="E5" s="8">
        <v>92</v>
      </c>
      <c r="F5" s="9">
        <v>0.73299999999999998</v>
      </c>
      <c r="G5" s="9">
        <v>0.56359999999999999</v>
      </c>
      <c r="H5" s="13">
        <v>-23.1</v>
      </c>
      <c r="I5" s="6" t="s">
        <v>88</v>
      </c>
    </row>
    <row r="6" spans="1:9" x14ac:dyDescent="0.25">
      <c r="A6" s="10" t="s">
        <v>91</v>
      </c>
      <c r="B6" s="11">
        <v>4866967</v>
      </c>
      <c r="C6" s="11">
        <v>14833283</v>
      </c>
      <c r="D6" s="11">
        <v>9966316</v>
      </c>
      <c r="E6" s="8">
        <v>204.8</v>
      </c>
      <c r="F6" s="12">
        <v>0.6462</v>
      </c>
      <c r="G6" s="12">
        <v>0.61209999999999998</v>
      </c>
      <c r="H6" s="13">
        <v>-5.3</v>
      </c>
      <c r="I6" s="10" t="s">
        <v>88</v>
      </c>
    </row>
    <row r="7" spans="1:9" x14ac:dyDescent="0.25">
      <c r="A7" s="6" t="s">
        <v>92</v>
      </c>
      <c r="B7" s="7">
        <v>1110148</v>
      </c>
      <c r="C7" s="7">
        <v>4248422</v>
      </c>
      <c r="D7" s="7">
        <v>3138274</v>
      </c>
      <c r="E7" s="8">
        <v>282.7</v>
      </c>
      <c r="F7" s="9">
        <v>0.50619999999999998</v>
      </c>
      <c r="G7" s="9">
        <v>0.54120000000000001</v>
      </c>
      <c r="H7" s="8">
        <v>6.9</v>
      </c>
      <c r="I7" s="6" t="s">
        <v>88</v>
      </c>
    </row>
    <row r="8" spans="1:9" x14ac:dyDescent="0.25">
      <c r="A8" s="10" t="s">
        <v>93</v>
      </c>
      <c r="B8" s="11">
        <v>3620971</v>
      </c>
      <c r="C8" s="11">
        <v>6528313</v>
      </c>
      <c r="D8" s="11">
        <v>2907342</v>
      </c>
      <c r="E8" s="8">
        <v>80.3</v>
      </c>
      <c r="F8" s="12">
        <v>0.58209999999999995</v>
      </c>
      <c r="G8" s="12">
        <v>0.57899999999999996</v>
      </c>
      <c r="H8" s="13">
        <v>-0.5</v>
      </c>
      <c r="I8" s="10" t="s">
        <v>88</v>
      </c>
    </row>
    <row r="9" spans="1:9" x14ac:dyDescent="0.25">
      <c r="A9" s="6" t="s">
        <v>94</v>
      </c>
      <c r="B9" s="7">
        <v>4216291</v>
      </c>
      <c r="C9" s="7">
        <v>7116715</v>
      </c>
      <c r="D9" s="7">
        <v>2900424</v>
      </c>
      <c r="E9" s="8">
        <v>68.8</v>
      </c>
      <c r="F9" s="9">
        <v>0.52669999999999995</v>
      </c>
      <c r="G9" s="9">
        <v>0.43080000000000002</v>
      </c>
      <c r="H9" s="13">
        <v>-18.2</v>
      </c>
      <c r="I9" s="6" t="s">
        <v>88</v>
      </c>
    </row>
    <row r="10" spans="1:9" x14ac:dyDescent="0.25">
      <c r="A10" s="10" t="s">
        <v>95</v>
      </c>
      <c r="B10" s="11">
        <v>2851985</v>
      </c>
      <c r="C10" s="11">
        <v>5720799</v>
      </c>
      <c r="D10" s="11">
        <v>2868814</v>
      </c>
      <c r="E10" s="8">
        <v>100.6</v>
      </c>
      <c r="F10" s="12">
        <v>0.61080000000000001</v>
      </c>
      <c r="G10" s="12">
        <v>0.62139999999999995</v>
      </c>
      <c r="H10" s="8">
        <v>1.7</v>
      </c>
      <c r="I10" s="10" t="s">
        <v>88</v>
      </c>
    </row>
    <row r="11" spans="1:9" x14ac:dyDescent="0.25">
      <c r="A11" s="6" t="s">
        <v>96</v>
      </c>
      <c r="B11" s="7">
        <v>3544377</v>
      </c>
      <c r="C11" s="7">
        <v>6273691</v>
      </c>
      <c r="D11" s="7">
        <v>2729314</v>
      </c>
      <c r="E11" s="8">
        <v>77</v>
      </c>
      <c r="F11" s="9">
        <v>0.60270000000000001</v>
      </c>
      <c r="G11" s="9">
        <v>0.50680000000000003</v>
      </c>
      <c r="H11" s="13">
        <v>-15.9</v>
      </c>
      <c r="I11" s="6" t="s">
        <v>88</v>
      </c>
    </row>
    <row r="12" spans="1:9" x14ac:dyDescent="0.25">
      <c r="A12" s="10" t="s">
        <v>97</v>
      </c>
      <c r="B12" s="11">
        <v>51343</v>
      </c>
      <c r="C12" s="11">
        <v>2774900</v>
      </c>
      <c r="D12" s="11">
        <v>2723557</v>
      </c>
      <c r="E12" s="8">
        <v>5304.6</v>
      </c>
      <c r="F12" s="12">
        <v>0.64870000000000005</v>
      </c>
      <c r="G12" s="12">
        <v>0.42309999999999998</v>
      </c>
      <c r="H12" s="13">
        <v>-34.799999999999997</v>
      </c>
      <c r="I12" s="10" t="s">
        <v>88</v>
      </c>
    </row>
    <row r="13" spans="1:9" x14ac:dyDescent="0.25">
      <c r="A13" s="6" t="s">
        <v>98</v>
      </c>
      <c r="B13" s="7">
        <v>11190750</v>
      </c>
      <c r="C13" s="7">
        <v>13801569</v>
      </c>
      <c r="D13" s="7">
        <v>2610819</v>
      </c>
      <c r="E13" s="8">
        <v>23.3</v>
      </c>
      <c r="F13" s="9">
        <v>0.40710000000000002</v>
      </c>
      <c r="G13" s="9">
        <v>0.38879999999999998</v>
      </c>
      <c r="H13" s="13">
        <v>-4.5</v>
      </c>
      <c r="I13" s="6" t="s">
        <v>88</v>
      </c>
    </row>
    <row r="14" spans="1:9" x14ac:dyDescent="0.25">
      <c r="A14" s="10" t="s">
        <v>99</v>
      </c>
      <c r="B14" s="11">
        <v>18763578</v>
      </c>
      <c r="C14" s="11">
        <v>20880878</v>
      </c>
      <c r="D14" s="11">
        <v>2117300</v>
      </c>
      <c r="E14" s="8">
        <v>11.3</v>
      </c>
      <c r="F14" s="12">
        <v>0.83240000000000003</v>
      </c>
      <c r="G14" s="12">
        <v>0.90890000000000004</v>
      </c>
      <c r="H14" s="8">
        <v>9.1999999999999993</v>
      </c>
      <c r="I14" s="10" t="s">
        <v>88</v>
      </c>
    </row>
    <row r="15" spans="1:9" x14ac:dyDescent="0.25">
      <c r="A15" s="6" t="s">
        <v>100</v>
      </c>
      <c r="B15" s="7">
        <v>5204495</v>
      </c>
      <c r="C15" s="7">
        <v>7069848</v>
      </c>
      <c r="D15" s="7">
        <v>1865353</v>
      </c>
      <c r="E15" s="8">
        <v>35.799999999999997</v>
      </c>
      <c r="F15" s="9">
        <v>0.76780000000000004</v>
      </c>
      <c r="G15" s="9">
        <v>0.70079999999999998</v>
      </c>
      <c r="H15" s="13">
        <v>-8.6999999999999993</v>
      </c>
      <c r="I15" s="6" t="s">
        <v>88</v>
      </c>
    </row>
    <row r="16" spans="1:9" x14ac:dyDescent="0.25">
      <c r="A16" s="10" t="s">
        <v>101</v>
      </c>
      <c r="B16" s="11">
        <v>1506329</v>
      </c>
      <c r="C16" s="11">
        <v>3335227</v>
      </c>
      <c r="D16" s="11">
        <v>1828898</v>
      </c>
      <c r="E16" s="8">
        <v>121.4</v>
      </c>
      <c r="F16" s="12">
        <v>0.42520000000000002</v>
      </c>
      <c r="G16" s="12">
        <v>0.32950000000000002</v>
      </c>
      <c r="H16" s="13">
        <v>-22.5</v>
      </c>
      <c r="I16" s="10" t="s">
        <v>88</v>
      </c>
    </row>
    <row r="17" spans="1:9" x14ac:dyDescent="0.25">
      <c r="A17" s="6" t="s">
        <v>102</v>
      </c>
      <c r="B17" s="7">
        <v>7969384</v>
      </c>
      <c r="C17" s="7">
        <v>9692822</v>
      </c>
      <c r="D17" s="7">
        <v>1723438</v>
      </c>
      <c r="E17" s="8">
        <v>21.6</v>
      </c>
      <c r="F17" s="9">
        <v>0.31540000000000001</v>
      </c>
      <c r="G17" s="9">
        <v>0.32490000000000002</v>
      </c>
      <c r="H17" s="8">
        <v>3</v>
      </c>
      <c r="I17" s="6" t="s">
        <v>88</v>
      </c>
    </row>
    <row r="18" spans="1:9" x14ac:dyDescent="0.25">
      <c r="A18" s="10" t="s">
        <v>103</v>
      </c>
      <c r="B18" s="11">
        <v>3956553</v>
      </c>
      <c r="C18" s="11">
        <v>5570431</v>
      </c>
      <c r="D18" s="11">
        <v>1613878</v>
      </c>
      <c r="E18" s="8">
        <v>40.799999999999997</v>
      </c>
      <c r="F18" s="12">
        <v>0.52449999999999997</v>
      </c>
      <c r="G18" s="12">
        <v>0.51180000000000003</v>
      </c>
      <c r="H18" s="13">
        <v>-2.4</v>
      </c>
      <c r="I18" s="10" t="s">
        <v>88</v>
      </c>
    </row>
    <row r="19" spans="1:9" x14ac:dyDescent="0.25">
      <c r="A19" s="6" t="s">
        <v>104</v>
      </c>
      <c r="B19" s="7">
        <v>1687144</v>
      </c>
      <c r="C19" s="7">
        <v>3215089</v>
      </c>
      <c r="D19" s="7">
        <v>1527945</v>
      </c>
      <c r="E19" s="8">
        <v>90.6</v>
      </c>
      <c r="F19" s="9">
        <v>0.4572</v>
      </c>
      <c r="G19" s="9">
        <v>0.44</v>
      </c>
      <c r="H19" s="13">
        <v>-3.8</v>
      </c>
      <c r="I19" s="6" t="s">
        <v>88</v>
      </c>
    </row>
    <row r="20" spans="1:9" x14ac:dyDescent="0.25">
      <c r="A20" s="10" t="s">
        <v>105</v>
      </c>
      <c r="B20" s="11">
        <v>1788964</v>
      </c>
      <c r="C20" s="11">
        <v>2842785</v>
      </c>
      <c r="D20" s="11">
        <v>1053821</v>
      </c>
      <c r="E20" s="8">
        <v>58.9</v>
      </c>
      <c r="F20" s="12">
        <v>1.4075</v>
      </c>
      <c r="G20" s="12">
        <v>0.67320000000000002</v>
      </c>
      <c r="H20" s="13">
        <v>-52.2</v>
      </c>
      <c r="I20" s="10" t="s">
        <v>88</v>
      </c>
    </row>
    <row r="21" spans="1:9" x14ac:dyDescent="0.25">
      <c r="A21" s="6" t="s">
        <v>106</v>
      </c>
      <c r="B21" s="7">
        <v>2625937</v>
      </c>
      <c r="C21" s="7">
        <v>3597683</v>
      </c>
      <c r="D21" s="7">
        <v>971746</v>
      </c>
      <c r="E21" s="8">
        <v>37</v>
      </c>
      <c r="F21" s="9">
        <v>0.4748</v>
      </c>
      <c r="G21" s="9">
        <v>0.64829999999999999</v>
      </c>
      <c r="H21" s="8">
        <v>36.5</v>
      </c>
      <c r="I21" s="6" t="s">
        <v>107</v>
      </c>
    </row>
    <row r="22" spans="1:9" x14ac:dyDescent="0.25">
      <c r="A22" s="10" t="s">
        <v>108</v>
      </c>
      <c r="B22" s="11">
        <v>0</v>
      </c>
      <c r="C22" s="11">
        <v>800000</v>
      </c>
      <c r="D22" s="11">
        <v>800000</v>
      </c>
      <c r="E22" s="10"/>
      <c r="F22" s="10"/>
      <c r="G22" s="12">
        <v>1.1254</v>
      </c>
      <c r="H22" s="10"/>
      <c r="I22" s="10" t="s">
        <v>107</v>
      </c>
    </row>
    <row r="23" spans="1:9" x14ac:dyDescent="0.25">
      <c r="A23" s="6" t="s">
        <v>109</v>
      </c>
      <c r="B23" s="7">
        <v>418958</v>
      </c>
      <c r="C23" s="7">
        <v>1185283</v>
      </c>
      <c r="D23" s="7">
        <v>766325</v>
      </c>
      <c r="E23" s="8">
        <v>182.9</v>
      </c>
      <c r="F23" s="9">
        <v>0.64019999999999999</v>
      </c>
      <c r="G23" s="9">
        <v>0.78779999999999994</v>
      </c>
      <c r="H23" s="8">
        <v>23.1</v>
      </c>
      <c r="I23" s="6" t="s">
        <v>107</v>
      </c>
    </row>
    <row r="24" spans="1:9" x14ac:dyDescent="0.25">
      <c r="A24" s="10" t="s">
        <v>110</v>
      </c>
      <c r="B24" s="11">
        <v>378138</v>
      </c>
      <c r="C24" s="11">
        <v>1111712</v>
      </c>
      <c r="D24" s="11">
        <v>733574</v>
      </c>
      <c r="E24" s="8">
        <v>194</v>
      </c>
      <c r="F24" s="12">
        <v>0.54520000000000002</v>
      </c>
      <c r="G24" s="12">
        <v>0.80430000000000001</v>
      </c>
      <c r="H24" s="8">
        <v>47.5</v>
      </c>
      <c r="I24" s="10" t="s">
        <v>107</v>
      </c>
    </row>
    <row r="25" spans="1:9" x14ac:dyDescent="0.25">
      <c r="A25" s="6" t="s">
        <v>111</v>
      </c>
      <c r="B25" s="7">
        <v>196527</v>
      </c>
      <c r="C25" s="7">
        <v>842076</v>
      </c>
      <c r="D25" s="7">
        <v>645549</v>
      </c>
      <c r="E25" s="8">
        <v>328.5</v>
      </c>
      <c r="F25" s="9">
        <v>0.56310000000000004</v>
      </c>
      <c r="G25" s="9">
        <v>0.51190000000000002</v>
      </c>
      <c r="H25" s="13">
        <v>-9.1</v>
      </c>
      <c r="I25" s="6" t="s">
        <v>107</v>
      </c>
    </row>
    <row r="26" spans="1:9" x14ac:dyDescent="0.25">
      <c r="A26" s="10" t="s">
        <v>112</v>
      </c>
      <c r="B26" s="11">
        <v>441339</v>
      </c>
      <c r="C26" s="11">
        <v>995852</v>
      </c>
      <c r="D26" s="11">
        <v>554513</v>
      </c>
      <c r="E26" s="8">
        <v>125.6</v>
      </c>
      <c r="F26" s="12">
        <v>0.5796</v>
      </c>
      <c r="G26" s="12">
        <v>0.61860000000000004</v>
      </c>
      <c r="H26" s="8">
        <v>6.7</v>
      </c>
      <c r="I26" s="10" t="s">
        <v>107</v>
      </c>
    </row>
    <row r="27" spans="1:9" x14ac:dyDescent="0.25">
      <c r="A27" s="6" t="s">
        <v>113</v>
      </c>
      <c r="B27" s="7">
        <v>1159823</v>
      </c>
      <c r="C27" s="7">
        <v>1654516</v>
      </c>
      <c r="D27" s="7">
        <v>494693</v>
      </c>
      <c r="E27" s="8">
        <v>42.7</v>
      </c>
      <c r="F27" s="9">
        <v>1.2384999999999999</v>
      </c>
      <c r="G27" s="9">
        <v>1.2535000000000001</v>
      </c>
      <c r="H27" s="8">
        <v>1.2</v>
      </c>
      <c r="I27" s="6" t="s">
        <v>107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0_Indice</vt:lpstr>
      <vt:lpstr>1_Decomposicao</vt:lpstr>
      <vt:lpstr>2_Mensal</vt:lpstr>
      <vt:lpstr>3_Valor_Unitario</vt:lpstr>
      <vt:lpstr>4_Contrafactual</vt:lpstr>
      <vt:lpstr>5_Desvio_Ganhos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HAEMING</cp:lastModifiedBy>
  <dcterms:created xsi:type="dcterms:W3CDTF">2026-06-18T21:27:05Z</dcterms:created>
  <dcterms:modified xsi:type="dcterms:W3CDTF">2026-06-18T22:27:42Z</dcterms:modified>
</cp:coreProperties>
</file>