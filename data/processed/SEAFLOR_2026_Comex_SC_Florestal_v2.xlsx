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uno.haeming\Desktop\Demandas\OBS - SEAFLOR MURARA\data\processed\"/>
    </mc:Choice>
  </mc:AlternateContent>
  <xr:revisionPtr revIDLastSave="0" documentId="13_ncr:1_{AC8D7675-C92D-4987-B63A-CFBDB91B8EB7}" xr6:coauthVersionLast="47" xr6:coauthVersionMax="47" xr10:uidLastSave="{00000000-0000-0000-0000-000000000000}"/>
  <bookViews>
    <workbookView xWindow="-120" yWindow="-120" windowWidth="29040" windowHeight="15720" firstSheet="3" activeTab="6" xr2:uid="{00000000-000D-0000-FFFF-FFFF00000000}"/>
  </bookViews>
  <sheets>
    <sheet name="1_Serie_Hist" sheetId="1" r:id="rId1"/>
    <sheet name="2_Saldo" sheetId="2" r:id="rId2"/>
    <sheet name="3_Top_Produtos" sheetId="3" r:id="rId3"/>
    <sheet name="4_Top_Destinos" sheetId="4" r:id="rId4"/>
    <sheet name="5_Participacao" sheetId="5" r:id="rId5"/>
    <sheet name="6_YoY_Produtos" sheetId="6" r:id="rId6"/>
    <sheet name="7_Dest_Categoria" sheetId="7" r:id="rId7"/>
    <sheet name="8_Conc_EUA" sheetId="8" r:id="rId8"/>
    <sheet name="9_Mensal_EUA" sheetId="9" r:id="rId9"/>
    <sheet name="10_Queda_EUA" sheetId="10" r:id="rId10"/>
    <sheet name="11_Desvio" sheetId="11" r:id="rId11"/>
    <sheet name="12_Gini_Resumo" sheetId="12" r:id="rId12"/>
    <sheet name="13_Gini_Top10" sheetId="13" r:id="rId13"/>
    <sheet name="14_Gini_Lorenz" sheetId="14" r:id="rId14"/>
    <sheet name="15_Cresc_Atividade" sheetId="15" r:id="rId15"/>
    <sheet name="16_SC_BR_Resumo" sheetId="16" r:id="rId16"/>
    <sheet name="17_SC_BR_Serie" sheetId="17" r:id="rId17"/>
    <sheet name="18_SC_BR_Pivot" sheetId="18" r:id="rId18"/>
    <sheet name="19_SC_BR_Rank" sheetId="19" r:id="rId19"/>
    <sheet name="20_SC_BR_Produto" sheetId="20" r:id="rId20"/>
    <sheet name="21_SC_BR_Destinos" sheetId="21" r:id="rId21"/>
    <sheet name="0_Indice" sheetId="22" r:id="rId22"/>
  </sheets>
  <definedNames>
    <definedName name="_xlnm._FilterDatabase" localSheetId="5" hidden="1">'6_YoY_Produtos'!$A$2:$L$22</definedName>
  </definedNames>
  <calcPr calcId="191029"/>
  <pivotCaches>
    <pivotCache cacheId="27" r:id="rId23"/>
    <pivotCache cacheId="33" r:id="rId2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8" i="7" l="1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7" i="7"/>
  <c r="N22" i="15"/>
  <c r="K22" i="15"/>
  <c r="N19" i="15"/>
  <c r="K19" i="15"/>
  <c r="N17" i="15"/>
  <c r="K17" i="15"/>
  <c r="N14" i="15"/>
  <c r="K14" i="15"/>
  <c r="N11" i="15"/>
  <c r="K11" i="15"/>
</calcChain>
</file>

<file path=xl/sharedStrings.xml><?xml version="1.0" encoding="utf-8"?>
<sst xmlns="http://schemas.openxmlformats.org/spreadsheetml/2006/main" count="2500" uniqueCount="289">
  <si>
    <t>Ano</t>
  </si>
  <si>
    <t>Fluxo</t>
  </si>
  <si>
    <t>Categoria</t>
  </si>
  <si>
    <t>Exportacoes_USD</t>
  </si>
  <si>
    <t>Var YoY (%)</t>
  </si>
  <si>
    <t>EXP</t>
  </si>
  <si>
    <t>IMP</t>
  </si>
  <si>
    <t>Madeira e Móveis</t>
  </si>
  <si>
    <t>Papel e Celulose</t>
  </si>
  <si>
    <t>Produção Florestal</t>
  </si>
  <si>
    <t>1. Serie Historica — EXP e IMP por categoria com crescimento YoY (2015–2025)</t>
  </si>
  <si>
    <t>Importacoes_USD</t>
  </si>
  <si>
    <t>Saldo_USD</t>
  </si>
  <si>
    <t>Var Exportacoes YoY (%)</t>
  </si>
  <si>
    <t>Var Importacoes YoY (%)</t>
  </si>
  <si>
    <t>Var Saldo YoY (%)</t>
  </si>
  <si>
    <t>2. Saldo Comercial do Complexo Florestal SC com variacao YoY (2015–2025)</t>
  </si>
  <si>
    <t>Produto</t>
  </si>
  <si>
    <t>Kg</t>
  </si>
  <si>
    <t>Nr_Destinos</t>
  </si>
  <si>
    <t>Var Kg YoY (%)</t>
  </si>
  <si>
    <t>Share Total (%)</t>
  </si>
  <si>
    <t>Madeira serrada</t>
  </si>
  <si>
    <t>Obras de carpintaria para construções</t>
  </si>
  <si>
    <t>Outros móveis</t>
  </si>
  <si>
    <t>Madeira compensada</t>
  </si>
  <si>
    <t>Papel Kraft, não revestidos</t>
  </si>
  <si>
    <t>Madeira em forma</t>
  </si>
  <si>
    <t>Recipientes de papel</t>
  </si>
  <si>
    <t>Madeira MDF</t>
  </si>
  <si>
    <t>Madeira em bruto</t>
  </si>
  <si>
    <t>Lenha e desperdícios de madeira</t>
  </si>
  <si>
    <t>Painéis de madeira aglomerada</t>
  </si>
  <si>
    <t>Outros papéis</t>
  </si>
  <si>
    <t>Papel para fabricação de papel higiênico</t>
  </si>
  <si>
    <t>Madeira densificada</t>
  </si>
  <si>
    <t>Papel higiênico</t>
  </si>
  <si>
    <t>Folheados</t>
  </si>
  <si>
    <t>Outros artigos de madeira</t>
  </si>
  <si>
    <t>Assentos</t>
  </si>
  <si>
    <t>Edredons, almofadas e artigos semelhantes</t>
  </si>
  <si>
    <t>Ferramentas de madeira</t>
  </si>
  <si>
    <t>3. Top Produtos Exportados — 2023, 2024 e 2025 com variacao YoY</t>
  </si>
  <si>
    <t>Pais</t>
  </si>
  <si>
    <t>Nr_Produtos</t>
  </si>
  <si>
    <t>Estados Unidos</t>
  </si>
  <si>
    <t>México</t>
  </si>
  <si>
    <t>Argentina</t>
  </si>
  <si>
    <t>China</t>
  </si>
  <si>
    <t>Reino Unido</t>
  </si>
  <si>
    <t>Chile</t>
  </si>
  <si>
    <t>Uruguai</t>
  </si>
  <si>
    <t>Paraguai</t>
  </si>
  <si>
    <t>Itália</t>
  </si>
  <si>
    <t>Arábia Saudita</t>
  </si>
  <si>
    <t>França</t>
  </si>
  <si>
    <t>Alemanha</t>
  </si>
  <si>
    <t>Emirados Árabes Unidos</t>
  </si>
  <si>
    <t>Portugal</t>
  </si>
  <si>
    <t>Espanha</t>
  </si>
  <si>
    <t>4. Top Destinos das Exportacoes Florestais SC — 2023, 2024 e 2025 com variacao YoY</t>
  </si>
  <si>
    <t>Florestal_USD</t>
  </si>
  <si>
    <t>Total_SC_USD</t>
  </si>
  <si>
    <t>Participacao_Pct</t>
  </si>
  <si>
    <t>Var Florestal YoY (%)</t>
  </si>
  <si>
    <t>Var Total SC YoY (%)</t>
  </si>
  <si>
    <t>Var Participacao pp</t>
  </si>
  <si>
    <t>5. Participacao do Complexo Florestal no Total Exportado por SC com crescimento YoY</t>
  </si>
  <si>
    <t>Exp_2023_USD</t>
  </si>
  <si>
    <t>Exp_2024_USD</t>
  </si>
  <si>
    <t>Exp_2025_USD</t>
  </si>
  <si>
    <t>Kg_2023</t>
  </si>
  <si>
    <t>Kg_2024</t>
  </si>
  <si>
    <t>Kg_2025</t>
  </si>
  <si>
    <t>Var 23→24 (%)</t>
  </si>
  <si>
    <t>Var 24→25 (%)</t>
  </si>
  <si>
    <t>Var Kg 24→25 (%)</t>
  </si>
  <si>
    <t>Delta USD 24→25</t>
  </si>
  <si>
    <t>6. Variacao Anual por Produto — 2023, 2024 e 2025 (valor, volume e preco medio)</t>
  </si>
  <si>
    <t>Share Categoria (%)</t>
  </si>
  <si>
    <t>Equador</t>
  </si>
  <si>
    <t>Bolívia</t>
  </si>
  <si>
    <t>África do Sul</t>
  </si>
  <si>
    <t>Coreia do Sul</t>
  </si>
  <si>
    <t>Índia</t>
  </si>
  <si>
    <t>Peru</t>
  </si>
  <si>
    <t>Áustria</t>
  </si>
  <si>
    <t>7. Destinos por Categoria SC Competitiva — 2023, 2024 e 2025 com variacao YoY</t>
  </si>
  <si>
    <t>Exp_EUA_USD</t>
  </si>
  <si>
    <t>Exp_Total_Florestal_USD</t>
  </si>
  <si>
    <t>Share_EUA_Pct</t>
  </si>
  <si>
    <t>Var Exp EUA YoY (%)</t>
  </si>
  <si>
    <t>Var Total YoY (%)</t>
  </si>
  <si>
    <t>Var Share pp</t>
  </si>
  <si>
    <t>8. Concentracao EUA nas Exportacoes Florestais SC com variacao YoY (2015–2025)</t>
  </si>
  <si>
    <t>Mes</t>
  </si>
  <si>
    <t>Exp_Outros_USD</t>
  </si>
  <si>
    <t>Exp_Total_USD</t>
  </si>
  <si>
    <t>Var EUA vs mesmo mes ano ant (%)</t>
  </si>
  <si>
    <t>Var Total vs mesmo mes ano ant (%)</t>
  </si>
  <si>
    <t>9. Exportacoes Mensais EUA vs Outros — 2023, 2024 e 2025 com comparativo mesmo mes ano ant.</t>
  </si>
  <si>
    <t>Exp_EUA_2023_USD</t>
  </si>
  <si>
    <t>Exp_EUA_2024_USD</t>
  </si>
  <si>
    <t>Exp_EUA_2025_USD</t>
  </si>
  <si>
    <t>Delta_24_25_USD</t>
  </si>
  <si>
    <t>Var_24_25_Pct</t>
  </si>
  <si>
    <t>Var_23_24_Pct</t>
  </si>
  <si>
    <t>Caixas de madeira</t>
  </si>
  <si>
    <t>Pergaminhos vegetais</t>
  </si>
  <si>
    <t>Sucos</t>
  </si>
  <si>
    <t>10. Produtos com Maior Variacao nas Exportacoes para EUA — 2023, 2024 e 2025</t>
  </si>
  <si>
    <t>Exp_H1_2025_USD</t>
  </si>
  <si>
    <t>Exp_H2_2025_USD</t>
  </si>
  <si>
    <t>Delta_H1_H2_USD</t>
  </si>
  <si>
    <t>Var_H1_H2_Pct</t>
  </si>
  <si>
    <t>Exp_H2_2024_USD</t>
  </si>
  <si>
    <t>Var_YoY_H2_Pct</t>
  </si>
  <si>
    <t>Marrocos</t>
  </si>
  <si>
    <t>Guatemala</t>
  </si>
  <si>
    <t>Jamaica</t>
  </si>
  <si>
    <t>Malásia</t>
  </si>
  <si>
    <t>11. Desvio de Comercio — Paises Ganhadores H1 vs H2 2025 com YoY H2 2024</t>
  </si>
  <si>
    <t>Setor</t>
  </si>
  <si>
    <t>Gini</t>
  </si>
  <si>
    <t>Nr Paises</t>
  </si>
  <si>
    <t>Exportacoes USD</t>
  </si>
  <si>
    <t>HHI</t>
  </si>
  <si>
    <t>1 Pais</t>
  </si>
  <si>
    <t>Share 1 Pais (%)</t>
  </si>
  <si>
    <t>Share Top 3 (%)</t>
  </si>
  <si>
    <t>Share Top 5 (%)</t>
  </si>
  <si>
    <t>Var Gini YoY</t>
  </si>
  <si>
    <t>Var HHI YoY</t>
  </si>
  <si>
    <t>Var Exp YoY (%)</t>
  </si>
  <si>
    <t>Base Florestal (CNAE 2)</t>
  </si>
  <si>
    <t>Madeira (CNAE 16)</t>
  </si>
  <si>
    <t>Moveis (CNAE 31)</t>
  </si>
  <si>
    <t>Papel e Celulose (CNAE 17)</t>
  </si>
  <si>
    <t>12. Gini — Concentracao de Destinos por Setor com variacao YoY (2023–2025)</t>
  </si>
  <si>
    <t>Rank</t>
  </si>
  <si>
    <t>Share (%)</t>
  </si>
  <si>
    <t>Share Acumulado (%)</t>
  </si>
  <si>
    <t>Vietnã</t>
  </si>
  <si>
    <t>Países Baixos (Holanda)</t>
  </si>
  <si>
    <t>Porto Rico</t>
  </si>
  <si>
    <t>Canadá</t>
  </si>
  <si>
    <t>Panamá</t>
  </si>
  <si>
    <t>Taiwan (Formosa)</t>
  </si>
  <si>
    <t>Eslováquia</t>
  </si>
  <si>
    <t>Geórgia</t>
  </si>
  <si>
    <t>Singapura</t>
  </si>
  <si>
    <t>13. Gini — Top 10 Paises por Setor e Ano com share acumulado</t>
  </si>
  <si>
    <t>% Paises acum</t>
  </si>
  <si>
    <t>% Exportacoes acum</t>
  </si>
  <si>
    <t>14. Gini — Dados da Curva de Lorenz por Setor e Ano</t>
  </si>
  <si>
    <t>CNAE</t>
  </si>
  <si>
    <t>Descricao_CNAE</t>
  </si>
  <si>
    <t>Categoria_SC</t>
  </si>
  <si>
    <t>EXP_USD</t>
  </si>
  <si>
    <t>IMP_USD</t>
  </si>
  <si>
    <t>EXP_Kg</t>
  </si>
  <si>
    <t>Nr_Destinos_EXP</t>
  </si>
  <si>
    <t>Nr_NCMs_EXP</t>
  </si>
  <si>
    <t>Var EXP YoY (%)</t>
  </si>
  <si>
    <t>Var IMP YoY (%)</t>
  </si>
  <si>
    <t>Var EXP Kg YoY (%)</t>
  </si>
  <si>
    <t>Var Nr Destinos</t>
  </si>
  <si>
    <t>FABRICAÇÃO DE PRODUTOS DE MADEIRA</t>
  </si>
  <si>
    <t>FABRICAÇÃO DE MÓVEIS</t>
  </si>
  <si>
    <t>FABRICAÇÃO DE CELULOSE, PAPEL E PRODUTOS DE PAPEL</t>
  </si>
  <si>
    <t>PRODUÇÃO FLORESTAL</t>
  </si>
  <si>
    <t>15. Painel de Crescimento por Atividade CNAE — EXP, IMP, Saldo e Nr Destinos com YoY</t>
  </si>
  <si>
    <t>SC_EXP</t>
  </si>
  <si>
    <t>BR_EXP</t>
  </si>
  <si>
    <t>Part_EXP_Pct</t>
  </si>
  <si>
    <t>SC_IMP</t>
  </si>
  <si>
    <t>BR_IMP</t>
  </si>
  <si>
    <t>Part_IMP_Pct</t>
  </si>
  <si>
    <t>SC_Kg</t>
  </si>
  <si>
    <t>BR_Kg</t>
  </si>
  <si>
    <t>Part_Kg_Pct</t>
  </si>
  <si>
    <t>SC_Nr_Destinos</t>
  </si>
  <si>
    <t>BR_Nr_Destinos</t>
  </si>
  <si>
    <t>Part_Nr_Destinos_Pct</t>
  </si>
  <si>
    <t>SC_Nr_NCMs</t>
  </si>
  <si>
    <t>BR_Nr_NCMs</t>
  </si>
  <si>
    <t>Part_Nr_NCMs_Pct</t>
  </si>
  <si>
    <t>Var_SC_EXP_YoY_Pct</t>
  </si>
  <si>
    <t>Var_BR_EXP_YoY_Pct</t>
  </si>
  <si>
    <t>Var_Part_EXP_pp</t>
  </si>
  <si>
    <t>Var_SC_IMP_YoY_Pct</t>
  </si>
  <si>
    <t>Var_BR_IMP_YoY_Pct</t>
  </si>
  <si>
    <t>Var_Part_IMP_pp</t>
  </si>
  <si>
    <t>Var_SC_Kg_YoY_Pct</t>
  </si>
  <si>
    <t>Var_BR_Kg_YoY_Pct</t>
  </si>
  <si>
    <t>Var_Part_Kg_pp</t>
  </si>
  <si>
    <t>Complexo Florestal</t>
  </si>
  <si>
    <t>Madeira e Moveis (16+31)</t>
  </si>
  <si>
    <t>16. Participacao SC/Brasil — Painel Resumo por Setor Florestal (EXP, IMP, Kg, Nr Destinos) 2023-2025</t>
  </si>
  <si>
    <t>BR_EXP_USD</t>
  </si>
  <si>
    <t>BR_IMP_USD</t>
  </si>
  <si>
    <t>BR_EXP_Kg</t>
  </si>
  <si>
    <t>SC_EXP_USD</t>
  </si>
  <si>
    <t>SC_IMP_USD</t>
  </si>
  <si>
    <t>SC_EXP_Kg</t>
  </si>
  <si>
    <t>Participacao_EXP_Pct</t>
  </si>
  <si>
    <t>Participacao_IMP_Pct</t>
  </si>
  <si>
    <t>Participacao_Kg_Pct</t>
  </si>
  <si>
    <t>Var_Part_pp</t>
  </si>
  <si>
    <t>17. Participacao SC/Brasil — Serie Historica 2015-2025 com variacao YoY por Setor</t>
  </si>
  <si>
    <t>2019</t>
  </si>
  <si>
    <t>2020</t>
  </si>
  <si>
    <t>2021</t>
  </si>
  <si>
    <t>2022</t>
  </si>
  <si>
    <t>2023</t>
  </si>
  <si>
    <t>2024</t>
  </si>
  <si>
    <t>2025</t>
  </si>
  <si>
    <t>Var 24→25 pp</t>
  </si>
  <si>
    <t>18. Participacao SC/Brasil — Pivot Setor x Ano 2019-2025 (% EXP SC/BR)</t>
  </si>
  <si>
    <t>UF</t>
  </si>
  <si>
    <t>Share_BR_Pct</t>
  </si>
  <si>
    <t>RS</t>
  </si>
  <si>
    <t>CE</t>
  </si>
  <si>
    <t>SC</t>
  </si>
  <si>
    <t>MT</t>
  </si>
  <si>
    <t>PI</t>
  </si>
  <si>
    <t>PA</t>
  </si>
  <si>
    <t>SP</t>
  </si>
  <si>
    <t>PR</t>
  </si>
  <si>
    <t>AC</t>
  </si>
  <si>
    <t>AM</t>
  </si>
  <si>
    <t>MG</t>
  </si>
  <si>
    <t>MS</t>
  </si>
  <si>
    <t>BA</t>
  </si>
  <si>
    <t>ES</t>
  </si>
  <si>
    <t>MA</t>
  </si>
  <si>
    <t>AP</t>
  </si>
  <si>
    <t>RO</t>
  </si>
  <si>
    <t>RJ</t>
  </si>
  <si>
    <t>PE</t>
  </si>
  <si>
    <t>ND</t>
  </si>
  <si>
    <t>19. Participacao SC/Brasil — Ranking SC entre os Estados Exportadores por Setor 2023-2025</t>
  </si>
  <si>
    <t>Part_SC_BR_Pct</t>
  </si>
  <si>
    <t>Var_SC_YoY_Pct</t>
  </si>
  <si>
    <t>Var_BR_YoY_Pct</t>
  </si>
  <si>
    <t>Carvão vegetal de madeira</t>
  </si>
  <si>
    <t>Gomas e resinas</t>
  </si>
  <si>
    <t>Outras frutas de casca rija</t>
  </si>
  <si>
    <t>Cocos e castanhas</t>
  </si>
  <si>
    <t>Ceras de vegetais e de insetos</t>
  </si>
  <si>
    <t>Outros papeis e suas obras</t>
  </si>
  <si>
    <t>Utensílios de madeira para cozinha</t>
  </si>
  <si>
    <t>Papel não revestido</t>
  </si>
  <si>
    <t>Papel ondulado ou encrespado</t>
  </si>
  <si>
    <t>Fibras de celulose de papel</t>
  </si>
  <si>
    <t>Papel revestido de caulim</t>
  </si>
  <si>
    <t>Etiquetas de papel</t>
  </si>
  <si>
    <t>20. Participacao SC/Brasil — Share SC nas Exportacoes BR por Produto com YoY</t>
  </si>
  <si>
    <t>21. Participacao SC/Brasil — Share SC nos Principais Destinos do Complexo Florestal BR</t>
  </si>
  <si>
    <t>SEAFLOR 2026 — Comercio Exterior SC: Complexo Florestal</t>
  </si>
  <si>
    <t>Fonte: ComexStat/MDIC  |  Observatorio FIESC  |  Junho 2026  |  v2 — com crescimento YoY</t>
  </si>
  <si>
    <t>Cobertura: EXP e IMP de SC por NCM, 2015-2025 | CNAE 2 (Base Florestal), 16 (Madeira), 17 (Papel), 31 (Moveis)</t>
  </si>
  <si>
    <t>Aba</t>
  </si>
  <si>
    <t>Conteudo</t>
  </si>
  <si>
    <t>1_Serie_Hist</t>
  </si>
  <si>
    <t>2_Saldo</t>
  </si>
  <si>
    <t>3_Top_Produtos</t>
  </si>
  <si>
    <t>4_Top_Destinos</t>
  </si>
  <si>
    <t>5_Participacao</t>
  </si>
  <si>
    <t>6_YoY_Produtos</t>
  </si>
  <si>
    <t>7_Dest_Categoria</t>
  </si>
  <si>
    <t>8_Conc_EUA</t>
  </si>
  <si>
    <t>9_Mensal_EUA</t>
  </si>
  <si>
    <t>10_Queda_EUA</t>
  </si>
  <si>
    <t>11_Desvio</t>
  </si>
  <si>
    <t>12_Gini_Resumo</t>
  </si>
  <si>
    <t>13_Gini_Top10</t>
  </si>
  <si>
    <t>14_Gini_Lorenz</t>
  </si>
  <si>
    <t>15_Cresc_Atividade</t>
  </si>
  <si>
    <t>16_SC_BR_Resumo</t>
  </si>
  <si>
    <t>17_SC_BR_Serie</t>
  </si>
  <si>
    <t>18_SC_BR_Pivot</t>
  </si>
  <si>
    <t>19_SC_BR_Rank</t>
  </si>
  <si>
    <t>20_SC_BR_Produto</t>
  </si>
  <si>
    <t>21_SC_BR_Destinos</t>
  </si>
  <si>
    <t>Rótulos de Linha</t>
  </si>
  <si>
    <t>Total Geral</t>
  </si>
  <si>
    <t>Rótulos de Coluna</t>
  </si>
  <si>
    <t>Soma de Exportacoes_USD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</si>
</sst>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&quot;+&quot;\ 0.0&quot;%&quot;"/>
    <numFmt numFmtId="165" formatCode="0.0&quot;%&quot;"/>
    <numFmt numFmtId="166" formatCode="0.0000"/>
    <numFmt numFmtId="167" formatCode="_-* #,##0.000_-;\-* #,##0.000_-;_-* &quot;-&quot;??_-;_-@_-"/>
    <numFmt numFmtId="168" formatCode="0.0%"/>
  </numFmts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375623"/>
      <name val="Calibri"/>
      <family val="2"/>
      <scheme val="minor"/>
    </font>
    <font>
      <sz val="9"/>
      <color rgb="FFC00000"/>
      <name val="Calibri"/>
      <family val="2"/>
      <scheme val="minor"/>
    </font>
    <font>
      <b/>
      <sz val="16"/>
      <color rgb="FF1F4E79"/>
      <name val="Calibri"/>
      <family val="2"/>
      <scheme val="minor"/>
    </font>
    <font>
      <i/>
      <sz val="9"/>
      <color rgb="FF595959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E75B6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DEEAF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3">
    <xf numFmtId="0" fontId="0" fillId="0" borderId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26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/>
    <xf numFmtId="3" fontId="3" fillId="4" borderId="1" xfId="0" applyNumberFormat="1" applyFont="1" applyFill="1" applyBorder="1"/>
    <xf numFmtId="0" fontId="3" fillId="0" borderId="1" xfId="0" applyFont="1" applyBorder="1"/>
    <xf numFmtId="3" fontId="3" fillId="0" borderId="1" xfId="0" applyNumberFormat="1" applyFont="1" applyBorder="1"/>
    <xf numFmtId="164" fontId="4" fillId="0" borderId="1" xfId="0" applyNumberFormat="1" applyFont="1" applyBorder="1"/>
    <xf numFmtId="165" fontId="5" fillId="0" borderId="1" xfId="0" applyNumberFormat="1" applyFont="1" applyBorder="1"/>
    <xf numFmtId="165" fontId="3" fillId="4" borderId="1" xfId="0" applyNumberFormat="1" applyFont="1" applyFill="1" applyBorder="1"/>
    <xf numFmtId="165" fontId="3" fillId="0" borderId="1" xfId="0" applyNumberFormat="1" applyFont="1" applyBorder="1"/>
    <xf numFmtId="3" fontId="4" fillId="0" borderId="1" xfId="0" applyNumberFormat="1" applyFont="1" applyBorder="1"/>
    <xf numFmtId="3" fontId="5" fillId="0" borderId="1" xfId="0" applyNumberFormat="1" applyFont="1" applyBorder="1"/>
    <xf numFmtId="166" fontId="3" fillId="4" borderId="1" xfId="0" applyNumberFormat="1" applyFont="1" applyFill="1" applyBorder="1"/>
    <xf numFmtId="166" fontId="3" fillId="0" borderId="1" xfId="0" applyNumberFormat="1" applyFont="1" applyBorder="1"/>
    <xf numFmtId="0" fontId="1" fillId="3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4" borderId="1" xfId="0" applyFill="1" applyBorder="1"/>
    <xf numFmtId="0" fontId="0" fillId="0" borderId="1" xfId="0" applyBorder="1"/>
    <xf numFmtId="0" fontId="1" fillId="2" borderId="0" xfId="0" applyFont="1" applyFill="1" applyAlignment="1">
      <alignment horizontal="center" vertical="center"/>
    </xf>
    <xf numFmtId="0" fontId="6" fillId="0" borderId="2" xfId="0" applyFont="1" applyBorder="1"/>
    <xf numFmtId="0" fontId="7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167" fontId="0" fillId="0" borderId="0" xfId="1" applyNumberFormat="1" applyFont="1"/>
    <xf numFmtId="168" fontId="0" fillId="0" borderId="0" xfId="2" applyNumberFormat="1" applyFont="1"/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1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UNO HAEMING" refreshedDate="46191.768892245367" createdVersion="8" refreshedVersion="8" minRefreshableVersion="3" recordCount="45" xr:uid="{77A2DA3B-9A1F-41DA-8520-F5FAFB5B8D7A}">
  <cacheSource type="worksheet">
    <worksheetSource ref="A2:F47" sheet="4_Top_Destinos"/>
  </cacheSource>
  <cacheFields count="6">
    <cacheField name="Pais" numFmtId="0">
      <sharedItems count="15">
        <s v="Estados Unidos"/>
        <s v="México"/>
        <s v="Argentina"/>
        <s v="China"/>
        <s v="Reino Unido"/>
        <s v="Chile"/>
        <s v="Uruguai"/>
        <s v="Paraguai"/>
        <s v="Itália"/>
        <s v="Arábia Saudita"/>
        <s v="França"/>
        <s v="Alemanha"/>
        <s v="Emirados Árabes Unidos"/>
        <s v="Portugal"/>
        <s v="Espanha"/>
      </sharedItems>
    </cacheField>
    <cacheField name="Ano" numFmtId="0">
      <sharedItems containsSemiMixedTypes="0" containsString="0" containsNumber="1" containsInteger="1" minValue="2023" maxValue="2025" count="3">
        <n v="2023"/>
        <n v="2024"/>
        <n v="2025"/>
      </sharedItems>
    </cacheField>
    <cacheField name="Exportacoes_USD" numFmtId="3">
      <sharedItems containsSemiMixedTypes="0" containsString="0" containsNumber="1" containsInteger="1" minValue="15863672" maxValue="795507656"/>
    </cacheField>
    <cacheField name="Nr_Produtos" numFmtId="0">
      <sharedItems containsSemiMixedTypes="0" containsString="0" containsNumber="1" containsInteger="1" minValue="7" maxValue="40"/>
    </cacheField>
    <cacheField name="Var YoY (%)" numFmtId="0">
      <sharedItems containsString="0" containsBlank="1" containsNumber="1" minValue="-35.200000000000003" maxValue="94.4"/>
    </cacheField>
    <cacheField name="Share Total (%)" numFmtId="165">
      <sharedItems containsSemiMixedTypes="0" containsString="0" containsNumber="1" minValue="1.1000000000000001" maxValue="51.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UNO HAEMING" refreshedDate="46191.769722453704" createdVersion="8" refreshedVersion="8" minRefreshableVersion="3" recordCount="88" xr:uid="{8BAF825F-2B34-47EF-8DEA-08389B9842EC}">
  <cacheSource type="worksheet">
    <worksheetSource ref="A2:F90" sheet="7_Dest_Categoria"/>
  </cacheSource>
  <cacheFields count="6">
    <cacheField name="Categoria" numFmtId="0">
      <sharedItems count="3">
        <s v="Madeira e Móveis"/>
        <s v="Papel e Celulose"/>
        <s v="Produção Florestal"/>
      </sharedItems>
    </cacheField>
    <cacheField name="Pais" numFmtId="0">
      <sharedItems count="22">
        <s v="Estados Unidos"/>
        <s v="México"/>
        <s v="Reino Unido"/>
        <s v="China"/>
        <s v="Itália"/>
        <s v="França"/>
        <s v="Alemanha"/>
        <s v="Arábia Saudita"/>
        <s v="Emirados Árabes Unidos"/>
        <s v="Espanha"/>
        <s v="Argentina"/>
        <s v="Chile"/>
        <s v="Paraguai"/>
        <s v="Uruguai"/>
        <s v="Equador"/>
        <s v="Bolívia"/>
        <s v="África do Sul"/>
        <s v="Portugal"/>
        <s v="Coreia do Sul"/>
        <s v="Índia"/>
        <s v="Peru"/>
        <s v="Áustria"/>
      </sharedItems>
    </cacheField>
    <cacheField name="Ano" numFmtId="0">
      <sharedItems containsSemiMixedTypes="0" containsString="0" containsNumber="1" containsInteger="1" minValue="2023" maxValue="2025" count="3">
        <n v="2023"/>
        <n v="2024"/>
        <n v="2025"/>
      </sharedItems>
    </cacheField>
    <cacheField name="Exportacoes_USD" numFmtId="3">
      <sharedItems containsSemiMixedTypes="0" containsString="0" containsNumber="1" containsInteger="1" minValue="31311" maxValue="768481622"/>
    </cacheField>
    <cacheField name="Var YoY (%)" numFmtId="0">
      <sharedItems containsString="0" containsBlank="1" containsNumber="1" minValue="-73.2" maxValue="996.4"/>
    </cacheField>
    <cacheField name="Share Categoria (%)" numFmtId="165">
      <sharedItems containsSemiMixedTypes="0" containsString="0" containsNumber="1" minValue="0.1" maxValue="64.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x v="0"/>
    <x v="0"/>
    <n v="723280923"/>
    <n v="37"/>
    <m/>
    <n v="50.8"/>
  </r>
  <r>
    <x v="1"/>
    <x v="0"/>
    <n v="153202777"/>
    <n v="23"/>
    <m/>
    <n v="10.8"/>
  </r>
  <r>
    <x v="2"/>
    <x v="0"/>
    <n v="87028975"/>
    <n v="25"/>
    <m/>
    <n v="6.1"/>
  </r>
  <r>
    <x v="3"/>
    <x v="0"/>
    <n v="69220751"/>
    <n v="19"/>
    <m/>
    <n v="4.9000000000000004"/>
  </r>
  <r>
    <x v="4"/>
    <x v="0"/>
    <n v="64952176"/>
    <n v="15"/>
    <m/>
    <n v="4.5999999999999996"/>
  </r>
  <r>
    <x v="5"/>
    <x v="0"/>
    <n v="46403510"/>
    <n v="29"/>
    <m/>
    <n v="3.3"/>
  </r>
  <r>
    <x v="6"/>
    <x v="0"/>
    <n v="44801970"/>
    <n v="37"/>
    <m/>
    <n v="3.1"/>
  </r>
  <r>
    <x v="7"/>
    <x v="0"/>
    <n v="41029832"/>
    <n v="40"/>
    <m/>
    <n v="2.9"/>
  </r>
  <r>
    <x v="8"/>
    <x v="0"/>
    <n v="39170824"/>
    <n v="21"/>
    <m/>
    <n v="2.8"/>
  </r>
  <r>
    <x v="9"/>
    <x v="0"/>
    <n v="33800606"/>
    <n v="7"/>
    <m/>
    <n v="2.4"/>
  </r>
  <r>
    <x v="10"/>
    <x v="0"/>
    <n v="33258296"/>
    <n v="19"/>
    <m/>
    <n v="2.2999999999999998"/>
  </r>
  <r>
    <x v="11"/>
    <x v="0"/>
    <n v="27331768"/>
    <n v="21"/>
    <m/>
    <n v="1.9"/>
  </r>
  <r>
    <x v="12"/>
    <x v="0"/>
    <n v="22510814"/>
    <n v="15"/>
    <m/>
    <n v="1.6"/>
  </r>
  <r>
    <x v="13"/>
    <x v="0"/>
    <n v="22027506"/>
    <n v="26"/>
    <m/>
    <n v="1.5"/>
  </r>
  <r>
    <x v="14"/>
    <x v="0"/>
    <n v="15863672"/>
    <n v="20"/>
    <m/>
    <n v="1.1000000000000001"/>
  </r>
  <r>
    <x v="0"/>
    <x v="1"/>
    <n v="795507656"/>
    <n v="37"/>
    <n v="10"/>
    <n v="51.1"/>
  </r>
  <r>
    <x v="1"/>
    <x v="1"/>
    <n v="170959556"/>
    <n v="26"/>
    <n v="11.6"/>
    <n v="11"/>
  </r>
  <r>
    <x v="3"/>
    <x v="1"/>
    <n v="90551205"/>
    <n v="20"/>
    <n v="30.8"/>
    <n v="5.8"/>
  </r>
  <r>
    <x v="2"/>
    <x v="1"/>
    <n v="90166519"/>
    <n v="30"/>
    <n v="3.6"/>
    <n v="5.8"/>
  </r>
  <r>
    <x v="4"/>
    <x v="1"/>
    <n v="70754482"/>
    <n v="22"/>
    <n v="8.9"/>
    <n v="4.5"/>
  </r>
  <r>
    <x v="6"/>
    <x v="1"/>
    <n v="49456801"/>
    <n v="36"/>
    <n v="10.4"/>
    <n v="3.2"/>
  </r>
  <r>
    <x v="7"/>
    <x v="1"/>
    <n v="47079948"/>
    <n v="38"/>
    <n v="14.7"/>
    <n v="3"/>
  </r>
  <r>
    <x v="8"/>
    <x v="1"/>
    <n v="42152987"/>
    <n v="18"/>
    <n v="7.6"/>
    <n v="2.7"/>
  </r>
  <r>
    <x v="13"/>
    <x v="1"/>
    <n v="34284139"/>
    <n v="26"/>
    <n v="55.6"/>
    <n v="2.2000000000000002"/>
  </r>
  <r>
    <x v="9"/>
    <x v="1"/>
    <n v="34143342"/>
    <n v="8"/>
    <n v="1"/>
    <n v="2.2000000000000002"/>
  </r>
  <r>
    <x v="10"/>
    <x v="1"/>
    <n v="33391245"/>
    <n v="19"/>
    <n v="0.4"/>
    <n v="2.1"/>
  </r>
  <r>
    <x v="5"/>
    <x v="1"/>
    <n v="30057565"/>
    <n v="29"/>
    <n v="-35.200000000000003"/>
    <n v="1.9"/>
  </r>
  <r>
    <x v="11"/>
    <x v="1"/>
    <n v="28847085"/>
    <n v="20"/>
    <n v="5.5"/>
    <n v="1.9"/>
  </r>
  <r>
    <x v="12"/>
    <x v="1"/>
    <n v="21164236"/>
    <n v="14"/>
    <n v="-6"/>
    <n v="1.4"/>
  </r>
  <r>
    <x v="14"/>
    <x v="1"/>
    <n v="17274955"/>
    <n v="17"/>
    <n v="8.9"/>
    <n v="1.1000000000000001"/>
  </r>
  <r>
    <x v="0"/>
    <x v="2"/>
    <n v="620674476"/>
    <n v="34"/>
    <n v="-22"/>
    <n v="44.2"/>
  </r>
  <r>
    <x v="1"/>
    <x v="2"/>
    <n v="121592734"/>
    <n v="26"/>
    <n v="-28.9"/>
    <n v="8.6999999999999993"/>
  </r>
  <r>
    <x v="2"/>
    <x v="2"/>
    <n v="112984340"/>
    <n v="29"/>
    <n v="25.3"/>
    <n v="8.1"/>
  </r>
  <r>
    <x v="3"/>
    <x v="2"/>
    <n v="74596402"/>
    <n v="16"/>
    <n v="-17.600000000000001"/>
    <n v="5.3"/>
  </r>
  <r>
    <x v="4"/>
    <x v="2"/>
    <n v="58626278"/>
    <n v="20"/>
    <n v="-17.100000000000001"/>
    <n v="4.2"/>
  </r>
  <r>
    <x v="8"/>
    <x v="2"/>
    <n v="51785123"/>
    <n v="17"/>
    <n v="22.9"/>
    <n v="3.7"/>
  </r>
  <r>
    <x v="7"/>
    <x v="2"/>
    <n v="51321376"/>
    <n v="38"/>
    <n v="9"/>
    <n v="3.7"/>
  </r>
  <r>
    <x v="6"/>
    <x v="2"/>
    <n v="50995340"/>
    <n v="40"/>
    <n v="3.1"/>
    <n v="3.6"/>
  </r>
  <r>
    <x v="13"/>
    <x v="2"/>
    <n v="43843449"/>
    <n v="29"/>
    <n v="27.9"/>
    <n v="3.1"/>
  </r>
  <r>
    <x v="9"/>
    <x v="2"/>
    <n v="42576504"/>
    <n v="7"/>
    <n v="24.7"/>
    <n v="3"/>
  </r>
  <r>
    <x v="5"/>
    <x v="2"/>
    <n v="40938832"/>
    <n v="29"/>
    <n v="36.200000000000003"/>
    <n v="2.9"/>
  </r>
  <r>
    <x v="12"/>
    <x v="2"/>
    <n v="37800095"/>
    <n v="13"/>
    <n v="78.599999999999994"/>
    <n v="2.7"/>
  </r>
  <r>
    <x v="14"/>
    <x v="2"/>
    <n v="33583344"/>
    <n v="19"/>
    <n v="94.4"/>
    <n v="2.4"/>
  </r>
  <r>
    <x v="11"/>
    <x v="2"/>
    <n v="31471327"/>
    <n v="17"/>
    <n v="9.1"/>
    <n v="2.2000000000000002"/>
  </r>
  <r>
    <x v="10"/>
    <x v="2"/>
    <n v="30081892"/>
    <n v="15"/>
    <n v="-9.9"/>
    <n v="2.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x v="0"/>
    <x v="0"/>
    <x v="0"/>
    <n v="685508260"/>
    <m/>
    <n v="63.8"/>
  </r>
  <r>
    <x v="0"/>
    <x v="1"/>
    <x v="0"/>
    <n v="129542144"/>
    <m/>
    <n v="12.1"/>
  </r>
  <r>
    <x v="0"/>
    <x v="2"/>
    <x v="0"/>
    <n v="64883261"/>
    <m/>
    <n v="6"/>
  </r>
  <r>
    <x v="0"/>
    <x v="3"/>
    <x v="0"/>
    <n v="39029581"/>
    <m/>
    <n v="3.6"/>
  </r>
  <r>
    <x v="0"/>
    <x v="4"/>
    <x v="0"/>
    <n v="35759506"/>
    <m/>
    <n v="3.3"/>
  </r>
  <r>
    <x v="0"/>
    <x v="5"/>
    <x v="0"/>
    <n v="33234848"/>
    <m/>
    <n v="3.1"/>
  </r>
  <r>
    <x v="0"/>
    <x v="6"/>
    <x v="0"/>
    <n v="25706415"/>
    <m/>
    <n v="2.4"/>
  </r>
  <r>
    <x v="0"/>
    <x v="7"/>
    <x v="0"/>
    <n v="23953864"/>
    <m/>
    <n v="2.2000000000000002"/>
  </r>
  <r>
    <x v="0"/>
    <x v="8"/>
    <x v="0"/>
    <n v="21914075"/>
    <m/>
    <n v="2"/>
  </r>
  <r>
    <x v="0"/>
    <x v="9"/>
    <x v="0"/>
    <n v="14252228"/>
    <m/>
    <n v="1.3"/>
  </r>
  <r>
    <x v="0"/>
    <x v="0"/>
    <x v="1"/>
    <n v="768481622"/>
    <n v="12.1"/>
    <n v="64.3"/>
  </r>
  <r>
    <x v="0"/>
    <x v="1"/>
    <x v="1"/>
    <n v="142966390"/>
    <n v="10.4"/>
    <n v="12"/>
  </r>
  <r>
    <x v="0"/>
    <x v="2"/>
    <x v="1"/>
    <n v="70108080"/>
    <n v="8.1"/>
    <n v="5.9"/>
  </r>
  <r>
    <x v="0"/>
    <x v="3"/>
    <x v="1"/>
    <n v="57263530"/>
    <n v="46.7"/>
    <n v="4.8"/>
  </r>
  <r>
    <x v="0"/>
    <x v="4"/>
    <x v="1"/>
    <n v="37456575"/>
    <n v="4.7"/>
    <n v="3.1"/>
  </r>
  <r>
    <x v="0"/>
    <x v="5"/>
    <x v="1"/>
    <n v="33177554"/>
    <n v="-0.2"/>
    <n v="2.8"/>
  </r>
  <r>
    <x v="0"/>
    <x v="6"/>
    <x v="1"/>
    <n v="27037675"/>
    <n v="5.2"/>
    <n v="2.2999999999999998"/>
  </r>
  <r>
    <x v="0"/>
    <x v="7"/>
    <x v="1"/>
    <n v="24969591"/>
    <n v="4.2"/>
    <n v="2.1"/>
  </r>
  <r>
    <x v="0"/>
    <x v="8"/>
    <x v="1"/>
    <n v="19878147"/>
    <n v="-9.3000000000000007"/>
    <n v="1.7"/>
  </r>
  <r>
    <x v="0"/>
    <x v="9"/>
    <x v="1"/>
    <n v="14131683"/>
    <n v="-0.8"/>
    <n v="1.2"/>
  </r>
  <r>
    <x v="0"/>
    <x v="0"/>
    <x v="2"/>
    <n v="596166414"/>
    <n v="-22.4"/>
    <n v="59.2"/>
  </r>
  <r>
    <x v="0"/>
    <x v="1"/>
    <x v="2"/>
    <n v="97705161"/>
    <n v="-31.7"/>
    <n v="9.6999999999999993"/>
  </r>
  <r>
    <x v="0"/>
    <x v="2"/>
    <x v="2"/>
    <n v="58350765"/>
    <n v="-16.8"/>
    <n v="5.8"/>
  </r>
  <r>
    <x v="0"/>
    <x v="4"/>
    <x v="2"/>
    <n v="47774550"/>
    <n v="27.5"/>
    <n v="4.7"/>
  </r>
  <r>
    <x v="0"/>
    <x v="3"/>
    <x v="2"/>
    <n v="44837741"/>
    <n v="-21.7"/>
    <n v="4.5"/>
  </r>
  <r>
    <x v="0"/>
    <x v="8"/>
    <x v="2"/>
    <n v="36530906"/>
    <n v="83.8"/>
    <n v="3.6"/>
  </r>
  <r>
    <x v="0"/>
    <x v="7"/>
    <x v="2"/>
    <n v="35467000"/>
    <n v="42"/>
    <n v="3.5"/>
  </r>
  <r>
    <x v="0"/>
    <x v="9"/>
    <x v="2"/>
    <n v="30308968"/>
    <n v="114.5"/>
    <n v="3"/>
  </r>
  <r>
    <x v="0"/>
    <x v="6"/>
    <x v="2"/>
    <n v="29890923"/>
    <n v="10.6"/>
    <n v="3"/>
  </r>
  <r>
    <x v="0"/>
    <x v="5"/>
    <x v="2"/>
    <n v="29592603"/>
    <n v="-10.8"/>
    <n v="2.9"/>
  </r>
  <r>
    <x v="1"/>
    <x v="10"/>
    <x v="0"/>
    <n v="84071038"/>
    <m/>
    <n v="28.9"/>
  </r>
  <r>
    <x v="1"/>
    <x v="0"/>
    <x v="0"/>
    <n v="36168053"/>
    <m/>
    <n v="12.5"/>
  </r>
  <r>
    <x v="1"/>
    <x v="11"/>
    <x v="0"/>
    <n v="34963699"/>
    <m/>
    <n v="12"/>
  </r>
  <r>
    <x v="1"/>
    <x v="12"/>
    <x v="0"/>
    <n v="28442464"/>
    <m/>
    <n v="9.8000000000000007"/>
  </r>
  <r>
    <x v="1"/>
    <x v="1"/>
    <x v="0"/>
    <n v="23660633"/>
    <m/>
    <n v="8.1"/>
  </r>
  <r>
    <x v="1"/>
    <x v="13"/>
    <x v="0"/>
    <n v="21618970"/>
    <m/>
    <n v="7.4"/>
  </r>
  <r>
    <x v="1"/>
    <x v="14"/>
    <x v="0"/>
    <n v="19813320"/>
    <m/>
    <n v="6.8"/>
  </r>
  <r>
    <x v="1"/>
    <x v="15"/>
    <x v="0"/>
    <n v="17799123"/>
    <m/>
    <n v="6.1"/>
  </r>
  <r>
    <x v="1"/>
    <x v="16"/>
    <x v="0"/>
    <n v="17291710"/>
    <m/>
    <n v="6"/>
  </r>
  <r>
    <x v="1"/>
    <x v="3"/>
    <x v="0"/>
    <n v="6583918"/>
    <m/>
    <n v="2.2999999999999998"/>
  </r>
  <r>
    <x v="1"/>
    <x v="10"/>
    <x v="1"/>
    <n v="86092676"/>
    <n v="2.4"/>
    <n v="34.1"/>
  </r>
  <r>
    <x v="1"/>
    <x v="12"/>
    <x v="1"/>
    <n v="34629834"/>
    <n v="21.8"/>
    <n v="13.7"/>
  </r>
  <r>
    <x v="1"/>
    <x v="1"/>
    <x v="1"/>
    <n v="27885706"/>
    <n v="17.899999999999999"/>
    <n v="11"/>
  </r>
  <r>
    <x v="1"/>
    <x v="0"/>
    <x v="1"/>
    <n v="25186395"/>
    <n v="-30.4"/>
    <n v="10"/>
  </r>
  <r>
    <x v="1"/>
    <x v="13"/>
    <x v="1"/>
    <n v="22804860"/>
    <n v="5.5"/>
    <n v="9"/>
  </r>
  <r>
    <x v="1"/>
    <x v="11"/>
    <x v="1"/>
    <n v="20601490"/>
    <n v="-41.1"/>
    <n v="8.1999999999999993"/>
  </r>
  <r>
    <x v="1"/>
    <x v="15"/>
    <x v="1"/>
    <n v="13847976"/>
    <n v="-22.2"/>
    <n v="5.5"/>
  </r>
  <r>
    <x v="1"/>
    <x v="16"/>
    <x v="1"/>
    <n v="8561898"/>
    <n v="-50.5"/>
    <n v="3.4"/>
  </r>
  <r>
    <x v="1"/>
    <x v="3"/>
    <x v="1"/>
    <n v="7761246"/>
    <n v="17.899999999999999"/>
    <n v="3.1"/>
  </r>
  <r>
    <x v="1"/>
    <x v="14"/>
    <x v="1"/>
    <n v="5309468"/>
    <n v="-73.2"/>
    <n v="2.1"/>
  </r>
  <r>
    <x v="1"/>
    <x v="10"/>
    <x v="2"/>
    <n v="101518662"/>
    <n v="17.899999999999999"/>
    <n v="34.1"/>
  </r>
  <r>
    <x v="1"/>
    <x v="12"/>
    <x v="2"/>
    <n v="37865529"/>
    <n v="9.3000000000000007"/>
    <n v="12.7"/>
  </r>
  <r>
    <x v="1"/>
    <x v="11"/>
    <x v="2"/>
    <n v="29202628"/>
    <n v="41.8"/>
    <n v="9.8000000000000007"/>
  </r>
  <r>
    <x v="1"/>
    <x v="1"/>
    <x v="2"/>
    <n v="23686033"/>
    <n v="-15.1"/>
    <n v="8"/>
  </r>
  <r>
    <x v="1"/>
    <x v="13"/>
    <x v="2"/>
    <n v="23164116"/>
    <n v="1.6"/>
    <n v="7.8"/>
  </r>
  <r>
    <x v="1"/>
    <x v="0"/>
    <x v="2"/>
    <n v="23149768"/>
    <n v="-8.1"/>
    <n v="7.8"/>
  </r>
  <r>
    <x v="1"/>
    <x v="14"/>
    <x v="2"/>
    <n v="19072749"/>
    <n v="259.2"/>
    <n v="6.4"/>
  </r>
  <r>
    <x v="1"/>
    <x v="15"/>
    <x v="2"/>
    <n v="16258564"/>
    <n v="17.399999999999999"/>
    <n v="5.5"/>
  </r>
  <r>
    <x v="1"/>
    <x v="16"/>
    <x v="2"/>
    <n v="15047674"/>
    <n v="75.8"/>
    <n v="5.0999999999999996"/>
  </r>
  <r>
    <x v="1"/>
    <x v="3"/>
    <x v="2"/>
    <n v="8647715"/>
    <n v="11.4"/>
    <n v="2.9"/>
  </r>
  <r>
    <x v="2"/>
    <x v="3"/>
    <x v="0"/>
    <n v="23607252"/>
    <m/>
    <n v="57.7"/>
  </r>
  <r>
    <x v="2"/>
    <x v="17"/>
    <x v="0"/>
    <n v="14250186"/>
    <m/>
    <n v="34.9"/>
  </r>
  <r>
    <x v="2"/>
    <x v="0"/>
    <x v="0"/>
    <n v="1604610"/>
    <m/>
    <n v="3.9"/>
  </r>
  <r>
    <x v="2"/>
    <x v="6"/>
    <x v="0"/>
    <n v="963355"/>
    <m/>
    <n v="2.4"/>
  </r>
  <r>
    <x v="2"/>
    <x v="18"/>
    <x v="0"/>
    <n v="248270"/>
    <m/>
    <n v="0.6"/>
  </r>
  <r>
    <x v="2"/>
    <x v="19"/>
    <x v="0"/>
    <n v="119688"/>
    <m/>
    <n v="0.3"/>
  </r>
  <r>
    <x v="2"/>
    <x v="11"/>
    <x v="0"/>
    <n v="53656"/>
    <m/>
    <n v="0.1"/>
  </r>
  <r>
    <x v="2"/>
    <x v="20"/>
    <x v="0"/>
    <n v="36863"/>
    <m/>
    <n v="0.1"/>
  </r>
  <r>
    <x v="2"/>
    <x v="3"/>
    <x v="1"/>
    <n v="25526429"/>
    <n v="8.1"/>
    <n v="51.4"/>
  </r>
  <r>
    <x v="2"/>
    <x v="17"/>
    <x v="1"/>
    <n v="19815829"/>
    <n v="39.1"/>
    <n v="39.9"/>
  </r>
  <r>
    <x v="2"/>
    <x v="0"/>
    <x v="1"/>
    <n v="1839639"/>
    <n v="14.6"/>
    <n v="3.7"/>
  </r>
  <r>
    <x v="2"/>
    <x v="6"/>
    <x v="1"/>
    <n v="1372789"/>
    <n v="42.5"/>
    <n v="2.8"/>
  </r>
  <r>
    <x v="2"/>
    <x v="18"/>
    <x v="1"/>
    <n v="620044"/>
    <n v="149.69999999999999"/>
    <n v="1.2"/>
  </r>
  <r>
    <x v="2"/>
    <x v="20"/>
    <x v="1"/>
    <n v="227891"/>
    <n v="518.20000000000005"/>
    <n v="0.5"/>
  </r>
  <r>
    <x v="2"/>
    <x v="1"/>
    <x v="1"/>
    <n v="107460"/>
    <m/>
    <n v="0.2"/>
  </r>
  <r>
    <x v="2"/>
    <x v="21"/>
    <x v="1"/>
    <n v="100145"/>
    <m/>
    <n v="0.2"/>
  </r>
  <r>
    <x v="2"/>
    <x v="19"/>
    <x v="1"/>
    <n v="39607"/>
    <n v="-66.900000000000006"/>
    <n v="0.1"/>
  </r>
  <r>
    <x v="2"/>
    <x v="11"/>
    <x v="1"/>
    <n v="31311"/>
    <n v="-41.6"/>
    <n v="0.1"/>
  </r>
  <r>
    <x v="2"/>
    <x v="17"/>
    <x v="2"/>
    <n v="22985441"/>
    <n v="16"/>
    <n v="47.6"/>
  </r>
  <r>
    <x v="2"/>
    <x v="3"/>
    <x v="2"/>
    <n v="21110946"/>
    <n v="-17.3"/>
    <n v="43.8"/>
  </r>
  <r>
    <x v="2"/>
    <x v="0"/>
    <x v="2"/>
    <n v="1358294"/>
    <n v="-26.2"/>
    <n v="2.8"/>
  </r>
  <r>
    <x v="2"/>
    <x v="6"/>
    <x v="2"/>
    <n v="1031778"/>
    <n v="-24.8"/>
    <n v="2.1"/>
  </r>
  <r>
    <x v="2"/>
    <x v="18"/>
    <x v="2"/>
    <n v="635315"/>
    <n v="2.5"/>
    <n v="1.3"/>
  </r>
  <r>
    <x v="2"/>
    <x v="11"/>
    <x v="2"/>
    <n v="343293"/>
    <n v="996.4"/>
    <n v="0.7"/>
  </r>
  <r>
    <x v="2"/>
    <x v="19"/>
    <x v="2"/>
    <n v="233222"/>
    <n v="488.8"/>
    <n v="0.5"/>
  </r>
  <r>
    <x v="2"/>
    <x v="21"/>
    <x v="2"/>
    <n v="205534"/>
    <n v="105.2"/>
    <n v="0.4"/>
  </r>
  <r>
    <x v="2"/>
    <x v="1"/>
    <x v="2"/>
    <n v="201540"/>
    <n v="87.5"/>
    <n v="0.4"/>
  </r>
  <r>
    <x v="2"/>
    <x v="20"/>
    <x v="2"/>
    <n v="142120"/>
    <n v="-37.6"/>
    <n v="0.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1F66EA-73AB-4AF0-9BF3-1D4BD501D4F2}" name="Tabela dinâmica6" cacheId="27" applyNumberFormats="0" applyBorderFormats="0" applyFontFormats="0" applyPatternFormats="0" applyAlignmentFormats="0" applyWidthHeightFormats="1" dataCaption="Valores" updatedVersion="8" minRefreshableVersion="3" useAutoFormatting="1" colGrandTotals="0" itemPrintTitles="1" createdVersion="8" indent="0" outline="1" outlineData="1" multipleFieldFilters="0">
  <location ref="J4:M21" firstHeaderRow="1" firstDataRow="2" firstDataCol="1"/>
  <pivotFields count="6">
    <pivotField axis="axisRow" showAll="0" sortType="descending">
      <items count="16">
        <item x="11"/>
        <item x="9"/>
        <item x="2"/>
        <item x="5"/>
        <item x="3"/>
        <item x="12"/>
        <item x="14"/>
        <item x="0"/>
        <item x="10"/>
        <item x="8"/>
        <item x="1"/>
        <item x="7"/>
        <item x="13"/>
        <item x="4"/>
        <item x="6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" count="1" selected="0">
              <x v="2"/>
            </reference>
          </references>
        </pivotArea>
      </autoSortScope>
    </pivotField>
    <pivotField axis="axisCol" showAll="0">
      <items count="4">
        <item x="0"/>
        <item x="1"/>
        <item x="2"/>
        <item t="default"/>
      </items>
    </pivotField>
    <pivotField dataField="1" numFmtId="3" showAll="0"/>
    <pivotField showAll="0"/>
    <pivotField showAll="0"/>
    <pivotField numFmtId="165" showAll="0"/>
  </pivotFields>
  <rowFields count="1">
    <field x="0"/>
  </rowFields>
  <rowItems count="16">
    <i>
      <x v="7"/>
    </i>
    <i>
      <x v="10"/>
    </i>
    <i>
      <x v="2"/>
    </i>
    <i>
      <x v="4"/>
    </i>
    <i>
      <x v="13"/>
    </i>
    <i>
      <x v="9"/>
    </i>
    <i>
      <x v="11"/>
    </i>
    <i>
      <x v="14"/>
    </i>
    <i>
      <x v="12"/>
    </i>
    <i>
      <x v="1"/>
    </i>
    <i>
      <x v="3"/>
    </i>
    <i>
      <x v="5"/>
    </i>
    <i>
      <x v="6"/>
    </i>
    <i>
      <x/>
    </i>
    <i>
      <x v="8"/>
    </i>
    <i t="grand">
      <x/>
    </i>
  </rowItems>
  <colFields count="1">
    <field x="1"/>
  </colFields>
  <colItems count="3">
    <i>
      <x/>
    </i>
    <i>
      <x v="1"/>
    </i>
    <i>
      <x v="2"/>
    </i>
  </colItems>
  <dataFields count="1">
    <dataField name="Soma de Exportacoes_USD" fld="2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E14AFE-EED0-4E39-82A0-8BD2FC0BBF3F}" name="Tabela dinâmica7" cacheId="33" applyNumberFormats="0" applyBorderFormats="0" applyFontFormats="0" applyPatternFormats="0" applyAlignmentFormats="0" applyWidthHeightFormats="1" dataCaption="Valores" updatedVersion="8" minRefreshableVersion="3" useAutoFormatting="1" colGrandTotals="0" itemPrintTitles="1" createdVersion="8" indent="0" outline="1" outlineData="1" multipleFieldFilters="0">
  <location ref="K5:N17" firstHeaderRow="1" firstDataRow="2" firstDataCol="1" rowPageCount="1" colPageCount="1"/>
  <pivotFields count="6">
    <pivotField axis="axisPage" showAll="0">
      <items count="4">
        <item x="0"/>
        <item x="1"/>
        <item x="2"/>
        <item t="default"/>
      </items>
    </pivotField>
    <pivotField axis="axisRow" showAll="0" sortType="descending">
      <items count="23">
        <item x="16"/>
        <item x="6"/>
        <item x="7"/>
        <item x="10"/>
        <item x="21"/>
        <item x="15"/>
        <item x="11"/>
        <item x="3"/>
        <item x="18"/>
        <item x="8"/>
        <item x="14"/>
        <item x="9"/>
        <item x="0"/>
        <item x="5"/>
        <item x="19"/>
        <item x="4"/>
        <item x="1"/>
        <item x="12"/>
        <item x="20"/>
        <item x="17"/>
        <item x="2"/>
        <item x="13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2" count="1" selected="0">
              <x v="2"/>
            </reference>
          </references>
        </pivotArea>
      </autoSortScope>
    </pivotField>
    <pivotField axis="axisCol" showAll="0">
      <items count="4">
        <item x="0"/>
        <item x="1"/>
        <item x="2"/>
        <item t="default"/>
      </items>
    </pivotField>
    <pivotField dataField="1" numFmtId="3" showAll="0"/>
    <pivotField showAll="0"/>
    <pivotField numFmtId="165" showAll="0"/>
  </pivotFields>
  <rowFields count="1">
    <field x="1"/>
  </rowFields>
  <rowItems count="11">
    <i>
      <x v="12"/>
    </i>
    <i>
      <x v="16"/>
    </i>
    <i>
      <x v="20"/>
    </i>
    <i>
      <x v="15"/>
    </i>
    <i>
      <x v="7"/>
    </i>
    <i>
      <x v="9"/>
    </i>
    <i>
      <x v="2"/>
    </i>
    <i>
      <x v="11"/>
    </i>
    <i>
      <x v="1"/>
    </i>
    <i>
      <x v="13"/>
    </i>
    <i t="grand">
      <x/>
    </i>
  </rowItems>
  <colFields count="1">
    <field x="2"/>
  </colFields>
  <colItems count="3">
    <i>
      <x/>
    </i>
    <i>
      <x v="1"/>
    </i>
    <i>
      <x v="2"/>
    </i>
  </colItems>
  <pageFields count="1">
    <pageField fld="0" item="0" hier="-1"/>
  </pageFields>
  <dataFields count="1">
    <dataField name="Soma de Exportacoes_USD" fld="3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8"/>
  <sheetViews>
    <sheetView workbookViewId="0">
      <pane ySplit="2" topLeftCell="A9" activePane="bottomLeft" state="frozen"/>
      <selection pane="bottomLeft" sqref="A1:E1"/>
    </sheetView>
  </sheetViews>
  <sheetFormatPr defaultRowHeight="15" x14ac:dyDescent="0.25"/>
  <cols>
    <col min="1" max="1" width="7.7109375" customWidth="1"/>
    <col min="2" max="2" width="8.7109375" customWidth="1"/>
    <col min="3" max="3" width="21.7109375" customWidth="1"/>
    <col min="4" max="4" width="18.7109375" customWidth="1"/>
    <col min="5" max="5" width="14.7109375" customWidth="1"/>
  </cols>
  <sheetData>
    <row r="1" spans="1:5" ht="20.100000000000001" customHeight="1" x14ac:dyDescent="0.25">
      <c r="A1" s="18" t="s">
        <v>10</v>
      </c>
      <c r="B1" s="18"/>
      <c r="C1" s="18"/>
      <c r="D1" s="18"/>
      <c r="E1" s="18"/>
    </row>
    <row r="2" spans="1:5" ht="38.1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25">
      <c r="A3" s="2">
        <v>2015</v>
      </c>
      <c r="B3" s="2" t="s">
        <v>5</v>
      </c>
      <c r="C3" s="2" t="s">
        <v>7</v>
      </c>
      <c r="D3" s="3">
        <v>805366061</v>
      </c>
      <c r="E3" s="2"/>
    </row>
    <row r="4" spans="1:5" x14ac:dyDescent="0.25">
      <c r="A4" s="4">
        <v>2016</v>
      </c>
      <c r="B4" s="4" t="s">
        <v>5</v>
      </c>
      <c r="C4" s="4" t="s">
        <v>7</v>
      </c>
      <c r="D4" s="5">
        <v>854256695</v>
      </c>
      <c r="E4" s="6">
        <v>6.1</v>
      </c>
    </row>
    <row r="5" spans="1:5" x14ac:dyDescent="0.25">
      <c r="A5" s="2">
        <v>2017</v>
      </c>
      <c r="B5" s="2" t="s">
        <v>5</v>
      </c>
      <c r="C5" s="2" t="s">
        <v>7</v>
      </c>
      <c r="D5" s="3">
        <v>1052166972</v>
      </c>
      <c r="E5" s="6">
        <v>23.2</v>
      </c>
    </row>
    <row r="6" spans="1:5" x14ac:dyDescent="0.25">
      <c r="A6" s="4">
        <v>2018</v>
      </c>
      <c r="B6" s="4" t="s">
        <v>5</v>
      </c>
      <c r="C6" s="4" t="s">
        <v>7</v>
      </c>
      <c r="D6" s="5">
        <v>1213530358</v>
      </c>
      <c r="E6" s="6">
        <v>15.3</v>
      </c>
    </row>
    <row r="7" spans="1:5" x14ac:dyDescent="0.25">
      <c r="A7" s="2">
        <v>2019</v>
      </c>
      <c r="B7" s="2" t="s">
        <v>5</v>
      </c>
      <c r="C7" s="2" t="s">
        <v>7</v>
      </c>
      <c r="D7" s="3">
        <v>1142274322</v>
      </c>
      <c r="E7" s="7">
        <v>-5.9</v>
      </c>
    </row>
    <row r="8" spans="1:5" x14ac:dyDescent="0.25">
      <c r="A8" s="4">
        <v>2020</v>
      </c>
      <c r="B8" s="4" t="s">
        <v>5</v>
      </c>
      <c r="C8" s="4" t="s">
        <v>7</v>
      </c>
      <c r="D8" s="5">
        <v>1268194130</v>
      </c>
      <c r="E8" s="6">
        <v>11</v>
      </c>
    </row>
    <row r="9" spans="1:5" x14ac:dyDescent="0.25">
      <c r="A9" s="2">
        <v>2021</v>
      </c>
      <c r="B9" s="2" t="s">
        <v>5</v>
      </c>
      <c r="C9" s="2" t="s">
        <v>7</v>
      </c>
      <c r="D9" s="3">
        <v>1825470760</v>
      </c>
      <c r="E9" s="6">
        <v>43.9</v>
      </c>
    </row>
    <row r="10" spans="1:5" x14ac:dyDescent="0.25">
      <c r="A10" s="4">
        <v>2022</v>
      </c>
      <c r="B10" s="4" t="s">
        <v>5</v>
      </c>
      <c r="C10" s="4" t="s">
        <v>7</v>
      </c>
      <c r="D10" s="5">
        <v>1795085513</v>
      </c>
      <c r="E10" s="7">
        <v>-1.7</v>
      </c>
    </row>
    <row r="11" spans="1:5" x14ac:dyDescent="0.25">
      <c r="A11" s="2">
        <v>2023</v>
      </c>
      <c r="B11" s="2" t="s">
        <v>5</v>
      </c>
      <c r="C11" s="2" t="s">
        <v>7</v>
      </c>
      <c r="D11" s="3">
        <v>1375099726</v>
      </c>
      <c r="E11" s="7">
        <v>-23.4</v>
      </c>
    </row>
    <row r="12" spans="1:5" x14ac:dyDescent="0.25">
      <c r="A12" s="4">
        <v>2024</v>
      </c>
      <c r="B12" s="4" t="s">
        <v>5</v>
      </c>
      <c r="C12" s="4" t="s">
        <v>7</v>
      </c>
      <c r="D12" s="5">
        <v>1562555709</v>
      </c>
      <c r="E12" s="6">
        <v>13.6</v>
      </c>
    </row>
    <row r="13" spans="1:5" x14ac:dyDescent="0.25">
      <c r="A13" s="2">
        <v>2025</v>
      </c>
      <c r="B13" s="2" t="s">
        <v>5</v>
      </c>
      <c r="C13" s="2" t="s">
        <v>7</v>
      </c>
      <c r="D13" s="3">
        <v>1441289042</v>
      </c>
      <c r="E13" s="7">
        <v>-7.8</v>
      </c>
    </row>
    <row r="14" spans="1:5" x14ac:dyDescent="0.25">
      <c r="A14" s="4">
        <v>2015</v>
      </c>
      <c r="B14" s="4" t="s">
        <v>6</v>
      </c>
      <c r="C14" s="4" t="s">
        <v>7</v>
      </c>
      <c r="D14" s="5">
        <v>100723154</v>
      </c>
      <c r="E14" s="4"/>
    </row>
    <row r="15" spans="1:5" x14ac:dyDescent="0.25">
      <c r="A15" s="2">
        <v>2016</v>
      </c>
      <c r="B15" s="2" t="s">
        <v>6</v>
      </c>
      <c r="C15" s="2" t="s">
        <v>7</v>
      </c>
      <c r="D15" s="3">
        <v>79422385</v>
      </c>
      <c r="E15" s="7">
        <v>-21.1</v>
      </c>
    </row>
    <row r="16" spans="1:5" x14ac:dyDescent="0.25">
      <c r="A16" s="4">
        <v>2017</v>
      </c>
      <c r="B16" s="4" t="s">
        <v>6</v>
      </c>
      <c r="C16" s="4" t="s">
        <v>7</v>
      </c>
      <c r="D16" s="5">
        <v>96744545</v>
      </c>
      <c r="E16" s="6">
        <v>21.8</v>
      </c>
    </row>
    <row r="17" spans="1:5" x14ac:dyDescent="0.25">
      <c r="A17" s="2">
        <v>2018</v>
      </c>
      <c r="B17" s="2" t="s">
        <v>6</v>
      </c>
      <c r="C17" s="2" t="s">
        <v>7</v>
      </c>
      <c r="D17" s="3">
        <v>114331447</v>
      </c>
      <c r="E17" s="6">
        <v>18.2</v>
      </c>
    </row>
    <row r="18" spans="1:5" x14ac:dyDescent="0.25">
      <c r="A18" s="4">
        <v>2019</v>
      </c>
      <c r="B18" s="4" t="s">
        <v>6</v>
      </c>
      <c r="C18" s="4" t="s">
        <v>7</v>
      </c>
      <c r="D18" s="5">
        <v>140307091</v>
      </c>
      <c r="E18" s="6">
        <v>22.7</v>
      </c>
    </row>
    <row r="19" spans="1:5" x14ac:dyDescent="0.25">
      <c r="A19" s="2">
        <v>2020</v>
      </c>
      <c r="B19" s="2" t="s">
        <v>6</v>
      </c>
      <c r="C19" s="2" t="s">
        <v>7</v>
      </c>
      <c r="D19" s="3">
        <v>151187219</v>
      </c>
      <c r="E19" s="6">
        <v>7.8</v>
      </c>
    </row>
    <row r="20" spans="1:5" x14ac:dyDescent="0.25">
      <c r="A20" s="4">
        <v>2021</v>
      </c>
      <c r="B20" s="4" t="s">
        <v>6</v>
      </c>
      <c r="C20" s="4" t="s">
        <v>7</v>
      </c>
      <c r="D20" s="5">
        <v>211796440</v>
      </c>
      <c r="E20" s="6">
        <v>40.1</v>
      </c>
    </row>
    <row r="21" spans="1:5" x14ac:dyDescent="0.25">
      <c r="A21" s="2">
        <v>2022</v>
      </c>
      <c r="B21" s="2" t="s">
        <v>6</v>
      </c>
      <c r="C21" s="2" t="s">
        <v>7</v>
      </c>
      <c r="D21" s="3">
        <v>153204886</v>
      </c>
      <c r="E21" s="7">
        <v>-27.7</v>
      </c>
    </row>
    <row r="22" spans="1:5" x14ac:dyDescent="0.25">
      <c r="A22" s="4">
        <v>2023</v>
      </c>
      <c r="B22" s="4" t="s">
        <v>6</v>
      </c>
      <c r="C22" s="4" t="s">
        <v>7</v>
      </c>
      <c r="D22" s="5">
        <v>189545126</v>
      </c>
      <c r="E22" s="6">
        <v>23.7</v>
      </c>
    </row>
    <row r="23" spans="1:5" x14ac:dyDescent="0.25">
      <c r="A23" s="2">
        <v>2024</v>
      </c>
      <c r="B23" s="2" t="s">
        <v>6</v>
      </c>
      <c r="C23" s="2" t="s">
        <v>7</v>
      </c>
      <c r="D23" s="3">
        <v>231804125</v>
      </c>
      <c r="E23" s="6">
        <v>22.3</v>
      </c>
    </row>
    <row r="24" spans="1:5" x14ac:dyDescent="0.25">
      <c r="A24" s="4">
        <v>2025</v>
      </c>
      <c r="B24" s="4" t="s">
        <v>6</v>
      </c>
      <c r="C24" s="4" t="s">
        <v>7</v>
      </c>
      <c r="D24" s="5">
        <v>251345430</v>
      </c>
      <c r="E24" s="6">
        <v>8.4</v>
      </c>
    </row>
    <row r="25" spans="1:5" x14ac:dyDescent="0.25">
      <c r="A25" s="2">
        <v>2015</v>
      </c>
      <c r="B25" s="2" t="s">
        <v>5</v>
      </c>
      <c r="C25" s="2" t="s">
        <v>8</v>
      </c>
      <c r="D25" s="3">
        <v>250833412</v>
      </c>
      <c r="E25" s="2"/>
    </row>
    <row r="26" spans="1:5" x14ac:dyDescent="0.25">
      <c r="A26" s="4">
        <v>2016</v>
      </c>
      <c r="B26" s="4" t="s">
        <v>5</v>
      </c>
      <c r="C26" s="4" t="s">
        <v>8</v>
      </c>
      <c r="D26" s="5">
        <v>245291378</v>
      </c>
      <c r="E26" s="7">
        <v>-2.2000000000000002</v>
      </c>
    </row>
    <row r="27" spans="1:5" x14ac:dyDescent="0.25">
      <c r="A27" s="2">
        <v>2017</v>
      </c>
      <c r="B27" s="2" t="s">
        <v>5</v>
      </c>
      <c r="C27" s="2" t="s">
        <v>8</v>
      </c>
      <c r="D27" s="3">
        <v>244140867</v>
      </c>
      <c r="E27" s="7">
        <v>-0.5</v>
      </c>
    </row>
    <row r="28" spans="1:5" x14ac:dyDescent="0.25">
      <c r="A28" s="4">
        <v>2018</v>
      </c>
      <c r="B28" s="4" t="s">
        <v>5</v>
      </c>
      <c r="C28" s="4" t="s">
        <v>8</v>
      </c>
      <c r="D28" s="5">
        <v>274288854</v>
      </c>
      <c r="E28" s="6">
        <v>12.3</v>
      </c>
    </row>
    <row r="29" spans="1:5" x14ac:dyDescent="0.25">
      <c r="A29" s="2">
        <v>2019</v>
      </c>
      <c r="B29" s="2" t="s">
        <v>5</v>
      </c>
      <c r="C29" s="2" t="s">
        <v>8</v>
      </c>
      <c r="D29" s="3">
        <v>272524483</v>
      </c>
      <c r="E29" s="7">
        <v>-0.6</v>
      </c>
    </row>
    <row r="30" spans="1:5" x14ac:dyDescent="0.25">
      <c r="A30" s="4">
        <v>2020</v>
      </c>
      <c r="B30" s="4" t="s">
        <v>5</v>
      </c>
      <c r="C30" s="4" t="s">
        <v>8</v>
      </c>
      <c r="D30" s="5">
        <v>255163706</v>
      </c>
      <c r="E30" s="7">
        <v>-6.4</v>
      </c>
    </row>
    <row r="31" spans="1:5" x14ac:dyDescent="0.25">
      <c r="A31" s="2">
        <v>2021</v>
      </c>
      <c r="B31" s="2" t="s">
        <v>5</v>
      </c>
      <c r="C31" s="2" t="s">
        <v>8</v>
      </c>
      <c r="D31" s="3">
        <v>287619476</v>
      </c>
      <c r="E31" s="6">
        <v>12.7</v>
      </c>
    </row>
    <row r="32" spans="1:5" x14ac:dyDescent="0.25">
      <c r="A32" s="4">
        <v>2022</v>
      </c>
      <c r="B32" s="4" t="s">
        <v>5</v>
      </c>
      <c r="C32" s="4" t="s">
        <v>8</v>
      </c>
      <c r="D32" s="5">
        <v>452414172</v>
      </c>
      <c r="E32" s="6">
        <v>57.3</v>
      </c>
    </row>
    <row r="33" spans="1:5" x14ac:dyDescent="0.25">
      <c r="A33" s="2">
        <v>2023</v>
      </c>
      <c r="B33" s="2" t="s">
        <v>5</v>
      </c>
      <c r="C33" s="2" t="s">
        <v>8</v>
      </c>
      <c r="D33" s="3">
        <v>349294927</v>
      </c>
      <c r="E33" s="7">
        <v>-22.8</v>
      </c>
    </row>
    <row r="34" spans="1:5" x14ac:dyDescent="0.25">
      <c r="A34" s="4">
        <v>2024</v>
      </c>
      <c r="B34" s="4" t="s">
        <v>5</v>
      </c>
      <c r="C34" s="4" t="s">
        <v>8</v>
      </c>
      <c r="D34" s="5">
        <v>330873864</v>
      </c>
      <c r="E34" s="7">
        <v>-5.3</v>
      </c>
    </row>
    <row r="35" spans="1:5" x14ac:dyDescent="0.25">
      <c r="A35" s="2">
        <v>2025</v>
      </c>
      <c r="B35" s="2" t="s">
        <v>5</v>
      </c>
      <c r="C35" s="2" t="s">
        <v>8</v>
      </c>
      <c r="D35" s="3">
        <v>371136784</v>
      </c>
      <c r="E35" s="6">
        <v>12.2</v>
      </c>
    </row>
    <row r="36" spans="1:5" x14ac:dyDescent="0.25">
      <c r="A36" s="4">
        <v>2015</v>
      </c>
      <c r="B36" s="4" t="s">
        <v>6</v>
      </c>
      <c r="C36" s="4" t="s">
        <v>8</v>
      </c>
      <c r="D36" s="5">
        <v>89545731</v>
      </c>
      <c r="E36" s="4"/>
    </row>
    <row r="37" spans="1:5" x14ac:dyDescent="0.25">
      <c r="A37" s="2">
        <v>2016</v>
      </c>
      <c r="B37" s="2" t="s">
        <v>6</v>
      </c>
      <c r="C37" s="2" t="s">
        <v>8</v>
      </c>
      <c r="D37" s="3">
        <v>68906571</v>
      </c>
      <c r="E37" s="7">
        <v>-23</v>
      </c>
    </row>
    <row r="38" spans="1:5" x14ac:dyDescent="0.25">
      <c r="A38" s="4">
        <v>2017</v>
      </c>
      <c r="B38" s="4" t="s">
        <v>6</v>
      </c>
      <c r="C38" s="4" t="s">
        <v>8</v>
      </c>
      <c r="D38" s="5">
        <v>86142475</v>
      </c>
      <c r="E38" s="6">
        <v>25</v>
      </c>
    </row>
    <row r="39" spans="1:5" x14ac:dyDescent="0.25">
      <c r="A39" s="2">
        <v>2018</v>
      </c>
      <c r="B39" s="2" t="s">
        <v>6</v>
      </c>
      <c r="C39" s="2" t="s">
        <v>8</v>
      </c>
      <c r="D39" s="3">
        <v>108003325</v>
      </c>
      <c r="E39" s="6">
        <v>25.4</v>
      </c>
    </row>
    <row r="40" spans="1:5" x14ac:dyDescent="0.25">
      <c r="A40" s="4">
        <v>2019</v>
      </c>
      <c r="B40" s="4" t="s">
        <v>6</v>
      </c>
      <c r="C40" s="4" t="s">
        <v>8</v>
      </c>
      <c r="D40" s="5">
        <v>117995991</v>
      </c>
      <c r="E40" s="6">
        <v>9.3000000000000007</v>
      </c>
    </row>
    <row r="41" spans="1:5" x14ac:dyDescent="0.25">
      <c r="A41" s="2">
        <v>2020</v>
      </c>
      <c r="B41" s="2" t="s">
        <v>6</v>
      </c>
      <c r="C41" s="2" t="s">
        <v>8</v>
      </c>
      <c r="D41" s="3">
        <v>98719216</v>
      </c>
      <c r="E41" s="7">
        <v>-16.3</v>
      </c>
    </row>
    <row r="42" spans="1:5" x14ac:dyDescent="0.25">
      <c r="A42" s="4">
        <v>2021</v>
      </c>
      <c r="B42" s="4" t="s">
        <v>6</v>
      </c>
      <c r="C42" s="4" t="s">
        <v>8</v>
      </c>
      <c r="D42" s="5">
        <v>157312014</v>
      </c>
      <c r="E42" s="6">
        <v>59.4</v>
      </c>
    </row>
    <row r="43" spans="1:5" x14ac:dyDescent="0.25">
      <c r="A43" s="2">
        <v>2022</v>
      </c>
      <c r="B43" s="2" t="s">
        <v>6</v>
      </c>
      <c r="C43" s="2" t="s">
        <v>8</v>
      </c>
      <c r="D43" s="3">
        <v>152597861</v>
      </c>
      <c r="E43" s="7">
        <v>-3</v>
      </c>
    </row>
    <row r="44" spans="1:5" x14ac:dyDescent="0.25">
      <c r="A44" s="4">
        <v>2023</v>
      </c>
      <c r="B44" s="4" t="s">
        <v>6</v>
      </c>
      <c r="C44" s="4" t="s">
        <v>8</v>
      </c>
      <c r="D44" s="5">
        <v>153551497</v>
      </c>
      <c r="E44" s="6">
        <v>0.6</v>
      </c>
    </row>
    <row r="45" spans="1:5" x14ac:dyDescent="0.25">
      <c r="A45" s="2">
        <v>2024</v>
      </c>
      <c r="B45" s="2" t="s">
        <v>6</v>
      </c>
      <c r="C45" s="2" t="s">
        <v>8</v>
      </c>
      <c r="D45" s="3">
        <v>187953386</v>
      </c>
      <c r="E45" s="6">
        <v>22.4</v>
      </c>
    </row>
    <row r="46" spans="1:5" x14ac:dyDescent="0.25">
      <c r="A46" s="4">
        <v>2025</v>
      </c>
      <c r="B46" s="4" t="s">
        <v>6</v>
      </c>
      <c r="C46" s="4" t="s">
        <v>8</v>
      </c>
      <c r="D46" s="5">
        <v>205591700</v>
      </c>
      <c r="E46" s="6">
        <v>9.4</v>
      </c>
    </row>
    <row r="47" spans="1:5" x14ac:dyDescent="0.25">
      <c r="A47" s="2">
        <v>2015</v>
      </c>
      <c r="B47" s="2" t="s">
        <v>5</v>
      </c>
      <c r="C47" s="2" t="s">
        <v>9</v>
      </c>
      <c r="D47" s="3">
        <v>4175102</v>
      </c>
      <c r="E47" s="2"/>
    </row>
    <row r="48" spans="1:5" x14ac:dyDescent="0.25">
      <c r="A48" s="4">
        <v>2016</v>
      </c>
      <c r="B48" s="4" t="s">
        <v>5</v>
      </c>
      <c r="C48" s="4" t="s">
        <v>9</v>
      </c>
      <c r="D48" s="5">
        <v>3789374</v>
      </c>
      <c r="E48" s="7">
        <v>-9.1999999999999993</v>
      </c>
    </row>
    <row r="49" spans="1:5" x14ac:dyDescent="0.25">
      <c r="A49" s="2">
        <v>2017</v>
      </c>
      <c r="B49" s="2" t="s">
        <v>5</v>
      </c>
      <c r="C49" s="2" t="s">
        <v>9</v>
      </c>
      <c r="D49" s="3">
        <v>6348961</v>
      </c>
      <c r="E49" s="6">
        <v>67.5</v>
      </c>
    </row>
    <row r="50" spans="1:5" x14ac:dyDescent="0.25">
      <c r="A50" s="4">
        <v>2018</v>
      </c>
      <c r="B50" s="4" t="s">
        <v>5</v>
      </c>
      <c r="C50" s="4" t="s">
        <v>9</v>
      </c>
      <c r="D50" s="5">
        <v>7584910</v>
      </c>
      <c r="E50" s="6">
        <v>19.5</v>
      </c>
    </row>
    <row r="51" spans="1:5" x14ac:dyDescent="0.25">
      <c r="A51" s="2">
        <v>2019</v>
      </c>
      <c r="B51" s="2" t="s">
        <v>5</v>
      </c>
      <c r="C51" s="2" t="s">
        <v>9</v>
      </c>
      <c r="D51" s="3">
        <v>11203115</v>
      </c>
      <c r="E51" s="6">
        <v>47.7</v>
      </c>
    </row>
    <row r="52" spans="1:5" x14ac:dyDescent="0.25">
      <c r="A52" s="4">
        <v>2020</v>
      </c>
      <c r="B52" s="4" t="s">
        <v>5</v>
      </c>
      <c r="C52" s="4" t="s">
        <v>9</v>
      </c>
      <c r="D52" s="5">
        <v>16465545</v>
      </c>
      <c r="E52" s="6">
        <v>47</v>
      </c>
    </row>
    <row r="53" spans="1:5" x14ac:dyDescent="0.25">
      <c r="A53" s="2">
        <v>2021</v>
      </c>
      <c r="B53" s="2" t="s">
        <v>5</v>
      </c>
      <c r="C53" s="2" t="s">
        <v>9</v>
      </c>
      <c r="D53" s="3">
        <v>32215396</v>
      </c>
      <c r="E53" s="6">
        <v>95.7</v>
      </c>
    </row>
    <row r="54" spans="1:5" x14ac:dyDescent="0.25">
      <c r="A54" s="4">
        <v>2022</v>
      </c>
      <c r="B54" s="4" t="s">
        <v>5</v>
      </c>
      <c r="C54" s="4" t="s">
        <v>9</v>
      </c>
      <c r="D54" s="5">
        <v>62118350</v>
      </c>
      <c r="E54" s="6">
        <v>92.8</v>
      </c>
    </row>
    <row r="55" spans="1:5" x14ac:dyDescent="0.25">
      <c r="A55" s="2">
        <v>2023</v>
      </c>
      <c r="B55" s="2" t="s">
        <v>5</v>
      </c>
      <c r="C55" s="2" t="s">
        <v>9</v>
      </c>
      <c r="D55" s="3">
        <v>42129153</v>
      </c>
      <c r="E55" s="7">
        <v>-32.200000000000003</v>
      </c>
    </row>
    <row r="56" spans="1:5" x14ac:dyDescent="0.25">
      <c r="A56" s="4">
        <v>2024</v>
      </c>
      <c r="B56" s="4" t="s">
        <v>5</v>
      </c>
      <c r="C56" s="4" t="s">
        <v>9</v>
      </c>
      <c r="D56" s="5">
        <v>50718988</v>
      </c>
      <c r="E56" s="6">
        <v>20.399999999999999</v>
      </c>
    </row>
    <row r="57" spans="1:5" x14ac:dyDescent="0.25">
      <c r="A57" s="2">
        <v>2025</v>
      </c>
      <c r="B57" s="2" t="s">
        <v>5</v>
      </c>
      <c r="C57" s="2" t="s">
        <v>9</v>
      </c>
      <c r="D57" s="3">
        <v>49021632</v>
      </c>
      <c r="E57" s="7">
        <v>-3.3</v>
      </c>
    </row>
    <row r="58" spans="1:5" x14ac:dyDescent="0.25">
      <c r="A58" s="4">
        <v>2015</v>
      </c>
      <c r="B58" s="4" t="s">
        <v>6</v>
      </c>
      <c r="C58" s="4" t="s">
        <v>9</v>
      </c>
      <c r="D58" s="5">
        <v>706270</v>
      </c>
      <c r="E58" s="4"/>
    </row>
    <row r="59" spans="1:5" x14ac:dyDescent="0.25">
      <c r="A59" s="2">
        <v>2016</v>
      </c>
      <c r="B59" s="2" t="s">
        <v>6</v>
      </c>
      <c r="C59" s="2" t="s">
        <v>9</v>
      </c>
      <c r="D59" s="3">
        <v>946255</v>
      </c>
      <c r="E59" s="6">
        <v>34</v>
      </c>
    </row>
    <row r="60" spans="1:5" x14ac:dyDescent="0.25">
      <c r="A60" s="4">
        <v>2017</v>
      </c>
      <c r="B60" s="4" t="s">
        <v>6</v>
      </c>
      <c r="C60" s="4" t="s">
        <v>9</v>
      </c>
      <c r="D60" s="5">
        <v>1494938</v>
      </c>
      <c r="E60" s="6">
        <v>58</v>
      </c>
    </row>
    <row r="61" spans="1:5" x14ac:dyDescent="0.25">
      <c r="A61" s="2">
        <v>2018</v>
      </c>
      <c r="B61" s="2" t="s">
        <v>6</v>
      </c>
      <c r="C61" s="2" t="s">
        <v>9</v>
      </c>
      <c r="D61" s="3">
        <v>3623539</v>
      </c>
      <c r="E61" s="6">
        <v>142.4</v>
      </c>
    </row>
    <row r="62" spans="1:5" x14ac:dyDescent="0.25">
      <c r="A62" s="4">
        <v>2019</v>
      </c>
      <c r="B62" s="4" t="s">
        <v>6</v>
      </c>
      <c r="C62" s="4" t="s">
        <v>9</v>
      </c>
      <c r="D62" s="5">
        <v>5663248</v>
      </c>
      <c r="E62" s="6">
        <v>56.3</v>
      </c>
    </row>
    <row r="63" spans="1:5" x14ac:dyDescent="0.25">
      <c r="A63" s="2">
        <v>2020</v>
      </c>
      <c r="B63" s="2" t="s">
        <v>6</v>
      </c>
      <c r="C63" s="2" t="s">
        <v>9</v>
      </c>
      <c r="D63" s="3">
        <v>5914154</v>
      </c>
      <c r="E63" s="6">
        <v>4.4000000000000004</v>
      </c>
    </row>
    <row r="64" spans="1:5" x14ac:dyDescent="0.25">
      <c r="A64" s="4">
        <v>2021</v>
      </c>
      <c r="B64" s="4" t="s">
        <v>6</v>
      </c>
      <c r="C64" s="4" t="s">
        <v>9</v>
      </c>
      <c r="D64" s="5">
        <v>13353461</v>
      </c>
      <c r="E64" s="6">
        <v>125.8</v>
      </c>
    </row>
    <row r="65" spans="1:5" x14ac:dyDescent="0.25">
      <c r="A65" s="2">
        <v>2022</v>
      </c>
      <c r="B65" s="2" t="s">
        <v>6</v>
      </c>
      <c r="C65" s="2" t="s">
        <v>9</v>
      </c>
      <c r="D65" s="3">
        <v>16164548</v>
      </c>
      <c r="E65" s="6">
        <v>21.1</v>
      </c>
    </row>
    <row r="66" spans="1:5" x14ac:dyDescent="0.25">
      <c r="A66" s="4">
        <v>2023</v>
      </c>
      <c r="B66" s="4" t="s">
        <v>6</v>
      </c>
      <c r="C66" s="4" t="s">
        <v>9</v>
      </c>
      <c r="D66" s="5">
        <v>19369884</v>
      </c>
      <c r="E66" s="6">
        <v>19.8</v>
      </c>
    </row>
    <row r="67" spans="1:5" x14ac:dyDescent="0.25">
      <c r="A67" s="2">
        <v>2024</v>
      </c>
      <c r="B67" s="2" t="s">
        <v>6</v>
      </c>
      <c r="C67" s="2" t="s">
        <v>9</v>
      </c>
      <c r="D67" s="3">
        <v>13993827</v>
      </c>
      <c r="E67" s="7">
        <v>-27.8</v>
      </c>
    </row>
    <row r="68" spans="1:5" x14ac:dyDescent="0.25">
      <c r="A68" s="4">
        <v>2025</v>
      </c>
      <c r="B68" s="4" t="s">
        <v>6</v>
      </c>
      <c r="C68" s="4" t="s">
        <v>9</v>
      </c>
      <c r="D68" s="5">
        <v>20725233</v>
      </c>
      <c r="E68" s="6">
        <v>48.1</v>
      </c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"/>
  <sheetViews>
    <sheetView workbookViewId="0">
      <pane ySplit="2" topLeftCell="A3" activePane="bottomLeft" state="frozen"/>
      <selection pane="bottomLeft" sqref="A1:G1"/>
    </sheetView>
  </sheetViews>
  <sheetFormatPr defaultRowHeight="15" x14ac:dyDescent="0.25"/>
  <cols>
    <col min="1" max="1" width="7.7109375" customWidth="1"/>
    <col min="2" max="3" width="18.7109375" customWidth="1"/>
    <col min="4" max="4" width="15.7109375" customWidth="1"/>
    <col min="5" max="6" width="26.7109375" customWidth="1"/>
    <col min="7" max="7" width="20.7109375" customWidth="1"/>
  </cols>
  <sheetData>
    <row r="1" spans="1:7" ht="20.100000000000001" customHeight="1" x14ac:dyDescent="0.25">
      <c r="A1" s="18" t="s">
        <v>16</v>
      </c>
      <c r="B1" s="18"/>
      <c r="C1" s="18"/>
      <c r="D1" s="18"/>
      <c r="E1" s="18"/>
      <c r="F1" s="18"/>
      <c r="G1" s="18"/>
    </row>
    <row r="2" spans="1:7" ht="38.1" customHeight="1" x14ac:dyDescent="0.25">
      <c r="A2" s="1" t="s">
        <v>0</v>
      </c>
      <c r="B2" s="1" t="s">
        <v>3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</row>
    <row r="3" spans="1:7" x14ac:dyDescent="0.25">
      <c r="A3" s="2">
        <v>2015</v>
      </c>
      <c r="B3" s="3">
        <v>1060374575</v>
      </c>
      <c r="C3" s="3">
        <v>190975155</v>
      </c>
      <c r="D3" s="3">
        <v>869399420</v>
      </c>
      <c r="E3" s="2"/>
      <c r="F3" s="2"/>
      <c r="G3" s="2"/>
    </row>
    <row r="4" spans="1:7" x14ac:dyDescent="0.25">
      <c r="A4" s="4">
        <v>2016</v>
      </c>
      <c r="B4" s="5">
        <v>1103337447</v>
      </c>
      <c r="C4" s="5">
        <v>149275211</v>
      </c>
      <c r="D4" s="5">
        <v>954062236</v>
      </c>
      <c r="E4" s="6">
        <v>4.0999999999999996</v>
      </c>
      <c r="F4" s="7">
        <v>-21.8</v>
      </c>
      <c r="G4" s="6">
        <v>9.6999999999999993</v>
      </c>
    </row>
    <row r="5" spans="1:7" x14ac:dyDescent="0.25">
      <c r="A5" s="2">
        <v>2017</v>
      </c>
      <c r="B5" s="3">
        <v>1302656800</v>
      </c>
      <c r="C5" s="3">
        <v>184381958</v>
      </c>
      <c r="D5" s="3">
        <v>1118274842</v>
      </c>
      <c r="E5" s="6">
        <v>18.100000000000001</v>
      </c>
      <c r="F5" s="6">
        <v>23.5</v>
      </c>
      <c r="G5" s="6">
        <v>17.2</v>
      </c>
    </row>
    <row r="6" spans="1:7" x14ac:dyDescent="0.25">
      <c r="A6" s="4">
        <v>2018</v>
      </c>
      <c r="B6" s="5">
        <v>1495404122</v>
      </c>
      <c r="C6" s="5">
        <v>225958311</v>
      </c>
      <c r="D6" s="5">
        <v>1269445811</v>
      </c>
      <c r="E6" s="6">
        <v>14.8</v>
      </c>
      <c r="F6" s="6">
        <v>22.5</v>
      </c>
      <c r="G6" s="6">
        <v>13.5</v>
      </c>
    </row>
    <row r="7" spans="1:7" x14ac:dyDescent="0.25">
      <c r="A7" s="2">
        <v>2019</v>
      </c>
      <c r="B7" s="3">
        <v>1426001920</v>
      </c>
      <c r="C7" s="3">
        <v>263966330</v>
      </c>
      <c r="D7" s="3">
        <v>1162035590</v>
      </c>
      <c r="E7" s="7">
        <v>-4.5999999999999996</v>
      </c>
      <c r="F7" s="6">
        <v>16.8</v>
      </c>
      <c r="G7" s="7">
        <v>-8.5</v>
      </c>
    </row>
    <row r="8" spans="1:7" x14ac:dyDescent="0.25">
      <c r="A8" s="4">
        <v>2020</v>
      </c>
      <c r="B8" s="5">
        <v>1539823381</v>
      </c>
      <c r="C8" s="5">
        <v>255820589</v>
      </c>
      <c r="D8" s="5">
        <v>1284002792</v>
      </c>
      <c r="E8" s="6">
        <v>8</v>
      </c>
      <c r="F8" s="7">
        <v>-3.1</v>
      </c>
      <c r="G8" s="6">
        <v>10.5</v>
      </c>
    </row>
    <row r="9" spans="1:7" x14ac:dyDescent="0.25">
      <c r="A9" s="2">
        <v>2021</v>
      </c>
      <c r="B9" s="3">
        <v>2145305632</v>
      </c>
      <c r="C9" s="3">
        <v>382461915</v>
      </c>
      <c r="D9" s="3">
        <v>1762843717</v>
      </c>
      <c r="E9" s="6">
        <v>39.299999999999997</v>
      </c>
      <c r="F9" s="6">
        <v>49.5</v>
      </c>
      <c r="G9" s="6">
        <v>37.299999999999997</v>
      </c>
    </row>
    <row r="10" spans="1:7" x14ac:dyDescent="0.25">
      <c r="A10" s="4">
        <v>2022</v>
      </c>
      <c r="B10" s="5">
        <v>2309618035</v>
      </c>
      <c r="C10" s="5">
        <v>321967295</v>
      </c>
      <c r="D10" s="5">
        <v>1987650740</v>
      </c>
      <c r="E10" s="6">
        <v>7.7</v>
      </c>
      <c r="F10" s="7">
        <v>-15.8</v>
      </c>
      <c r="G10" s="6">
        <v>12.8</v>
      </c>
    </row>
    <row r="11" spans="1:7" x14ac:dyDescent="0.25">
      <c r="A11" s="2">
        <v>2023</v>
      </c>
      <c r="B11" s="3">
        <v>1766523806</v>
      </c>
      <c r="C11" s="3">
        <v>362466507</v>
      </c>
      <c r="D11" s="3">
        <v>1404057299</v>
      </c>
      <c r="E11" s="7">
        <v>-23.5</v>
      </c>
      <c r="F11" s="6">
        <v>12.6</v>
      </c>
      <c r="G11" s="7">
        <v>-29.4</v>
      </c>
    </row>
    <row r="12" spans="1:7" x14ac:dyDescent="0.25">
      <c r="A12" s="4">
        <v>2024</v>
      </c>
      <c r="B12" s="5">
        <v>1944148561</v>
      </c>
      <c r="C12" s="5">
        <v>433751338</v>
      </c>
      <c r="D12" s="5">
        <v>1510397223</v>
      </c>
      <c r="E12" s="6">
        <v>10.1</v>
      </c>
      <c r="F12" s="6">
        <v>19.7</v>
      </c>
      <c r="G12" s="6">
        <v>7.6</v>
      </c>
    </row>
    <row r="13" spans="1:7" x14ac:dyDescent="0.25">
      <c r="A13" s="2">
        <v>2025</v>
      </c>
      <c r="B13" s="3">
        <v>1861447458</v>
      </c>
      <c r="C13" s="3">
        <v>477662363</v>
      </c>
      <c r="D13" s="3">
        <v>1383785095</v>
      </c>
      <c r="E13" s="7">
        <v>-4.3</v>
      </c>
      <c r="F13" s="6">
        <v>10.1</v>
      </c>
      <c r="G13" s="7">
        <v>-8.4</v>
      </c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4"/>
  <sheetViews>
    <sheetView workbookViewId="0">
      <pane ySplit="2" topLeftCell="A3" activePane="bottomLeft" state="frozen"/>
      <selection pane="bottomLeft" sqref="A1:I1"/>
    </sheetView>
  </sheetViews>
  <sheetFormatPr defaultRowHeight="15" x14ac:dyDescent="0.25"/>
  <cols>
    <col min="1" max="1" width="38.7109375" customWidth="1"/>
    <col min="2" max="2" width="21.7109375" customWidth="1"/>
    <col min="3" max="3" width="7.7109375" customWidth="1"/>
    <col min="4" max="4" width="18.7109375" customWidth="1"/>
    <col min="5" max="7" width="14.7109375" customWidth="1"/>
    <col min="8" max="8" width="17.7109375" customWidth="1"/>
    <col min="9" max="9" width="18.7109375" customWidth="1"/>
  </cols>
  <sheetData>
    <row r="1" spans="1:9" ht="20.100000000000001" customHeight="1" x14ac:dyDescent="0.25">
      <c r="A1" s="18" t="s">
        <v>42</v>
      </c>
      <c r="B1" s="18"/>
      <c r="C1" s="18"/>
      <c r="D1" s="18"/>
      <c r="E1" s="18"/>
      <c r="F1" s="18"/>
      <c r="G1" s="18"/>
      <c r="H1" s="18"/>
      <c r="I1" s="18"/>
    </row>
    <row r="2" spans="1:9" ht="38.1" customHeight="1" x14ac:dyDescent="0.25">
      <c r="A2" s="1" t="s">
        <v>17</v>
      </c>
      <c r="B2" s="1" t="s">
        <v>2</v>
      </c>
      <c r="C2" s="1" t="s">
        <v>0</v>
      </c>
      <c r="D2" s="1" t="s">
        <v>3</v>
      </c>
      <c r="E2" s="1" t="s">
        <v>18</v>
      </c>
      <c r="F2" s="1" t="s">
        <v>19</v>
      </c>
      <c r="G2" s="1" t="s">
        <v>4</v>
      </c>
      <c r="H2" s="1" t="s">
        <v>20</v>
      </c>
      <c r="I2" s="1" t="s">
        <v>21</v>
      </c>
    </row>
    <row r="3" spans="1:9" x14ac:dyDescent="0.25">
      <c r="A3" s="2" t="s">
        <v>22</v>
      </c>
      <c r="B3" s="2" t="s">
        <v>7</v>
      </c>
      <c r="C3" s="2">
        <v>2023</v>
      </c>
      <c r="D3" s="3">
        <v>311299909</v>
      </c>
      <c r="E3" s="3">
        <v>641650783</v>
      </c>
      <c r="F3" s="2">
        <v>65</v>
      </c>
      <c r="G3" s="2"/>
      <c r="H3" s="2"/>
      <c r="I3" s="8">
        <v>17.899999999999999</v>
      </c>
    </row>
    <row r="4" spans="1:9" x14ac:dyDescent="0.25">
      <c r="A4" s="4" t="s">
        <v>23</v>
      </c>
      <c r="B4" s="4" t="s">
        <v>7</v>
      </c>
      <c r="C4" s="4">
        <v>2023</v>
      </c>
      <c r="D4" s="5">
        <v>293467151</v>
      </c>
      <c r="E4" s="5">
        <v>137215604</v>
      </c>
      <c r="F4" s="4">
        <v>70</v>
      </c>
      <c r="G4" s="4"/>
      <c r="H4" s="4"/>
      <c r="I4" s="9">
        <v>16.899999999999999</v>
      </c>
    </row>
    <row r="5" spans="1:9" x14ac:dyDescent="0.25">
      <c r="A5" s="2" t="s">
        <v>24</v>
      </c>
      <c r="B5" s="2" t="s">
        <v>7</v>
      </c>
      <c r="C5" s="2">
        <v>2023</v>
      </c>
      <c r="D5" s="3">
        <v>241818630</v>
      </c>
      <c r="E5" s="3">
        <v>97903120</v>
      </c>
      <c r="F5" s="2">
        <v>101</v>
      </c>
      <c r="G5" s="2"/>
      <c r="H5" s="2"/>
      <c r="I5" s="8">
        <v>13.9</v>
      </c>
    </row>
    <row r="6" spans="1:9" x14ac:dyDescent="0.25">
      <c r="A6" s="4" t="s">
        <v>25</v>
      </c>
      <c r="B6" s="4" t="s">
        <v>7</v>
      </c>
      <c r="C6" s="4">
        <v>2023</v>
      </c>
      <c r="D6" s="5">
        <v>213167588</v>
      </c>
      <c r="E6" s="5">
        <v>359788885</v>
      </c>
      <c r="F6" s="4">
        <v>79</v>
      </c>
      <c r="G6" s="4"/>
      <c r="H6" s="4"/>
      <c r="I6" s="9">
        <v>12.2</v>
      </c>
    </row>
    <row r="7" spans="1:9" x14ac:dyDescent="0.25">
      <c r="A7" s="2" t="s">
        <v>26</v>
      </c>
      <c r="B7" s="2" t="s">
        <v>8</v>
      </c>
      <c r="C7" s="2">
        <v>2023</v>
      </c>
      <c r="D7" s="3">
        <v>185438423</v>
      </c>
      <c r="E7" s="3">
        <v>270537096</v>
      </c>
      <c r="F7" s="2">
        <v>68</v>
      </c>
      <c r="G7" s="2"/>
      <c r="H7" s="2"/>
      <c r="I7" s="8">
        <v>10.7</v>
      </c>
    </row>
    <row r="8" spans="1:9" x14ac:dyDescent="0.25">
      <c r="A8" s="4" t="s">
        <v>27</v>
      </c>
      <c r="B8" s="4" t="s">
        <v>7</v>
      </c>
      <c r="C8" s="4">
        <v>2023</v>
      </c>
      <c r="D8" s="5">
        <v>105893194</v>
      </c>
      <c r="E8" s="5">
        <v>59053449</v>
      </c>
      <c r="F8" s="4">
        <v>17</v>
      </c>
      <c r="G8" s="4"/>
      <c r="H8" s="4"/>
      <c r="I8" s="9">
        <v>6.1</v>
      </c>
    </row>
    <row r="9" spans="1:9" x14ac:dyDescent="0.25">
      <c r="A9" s="2" t="s">
        <v>28</v>
      </c>
      <c r="B9" s="2" t="s">
        <v>8</v>
      </c>
      <c r="C9" s="2">
        <v>2023</v>
      </c>
      <c r="D9" s="3">
        <v>86183901</v>
      </c>
      <c r="E9" s="3">
        <v>62046915</v>
      </c>
      <c r="F9" s="2">
        <v>54</v>
      </c>
      <c r="G9" s="2"/>
      <c r="H9" s="2"/>
      <c r="I9" s="8">
        <v>5</v>
      </c>
    </row>
    <row r="10" spans="1:9" x14ac:dyDescent="0.25">
      <c r="A10" s="4" t="s">
        <v>29</v>
      </c>
      <c r="B10" s="4" t="s">
        <v>7</v>
      </c>
      <c r="C10" s="4">
        <v>2023</v>
      </c>
      <c r="D10" s="5">
        <v>62423423</v>
      </c>
      <c r="E10" s="5">
        <v>173465859</v>
      </c>
      <c r="F10" s="4">
        <v>47</v>
      </c>
      <c r="G10" s="4"/>
      <c r="H10" s="4"/>
      <c r="I10" s="9">
        <v>3.6</v>
      </c>
    </row>
    <row r="11" spans="1:9" x14ac:dyDescent="0.25">
      <c r="A11" s="2" t="s">
        <v>30</v>
      </c>
      <c r="B11" s="2" t="s">
        <v>9</v>
      </c>
      <c r="C11" s="2">
        <v>2023</v>
      </c>
      <c r="D11" s="3">
        <v>38059989</v>
      </c>
      <c r="E11" s="3">
        <v>492522368</v>
      </c>
      <c r="F11" s="2">
        <v>12</v>
      </c>
      <c r="G11" s="2"/>
      <c r="H11" s="2"/>
      <c r="I11" s="8">
        <v>2.2000000000000002</v>
      </c>
    </row>
    <row r="12" spans="1:9" x14ac:dyDescent="0.25">
      <c r="A12" s="4" t="s">
        <v>31</v>
      </c>
      <c r="B12" s="4" t="s">
        <v>7</v>
      </c>
      <c r="C12" s="4">
        <v>2023</v>
      </c>
      <c r="D12" s="5">
        <v>34285443</v>
      </c>
      <c r="E12" s="5">
        <v>182364323</v>
      </c>
      <c r="F12" s="4">
        <v>22</v>
      </c>
      <c r="G12" s="6">
        <v>346462.7</v>
      </c>
      <c r="H12" s="6">
        <v>917687.2</v>
      </c>
      <c r="I12" s="9">
        <v>2</v>
      </c>
    </row>
    <row r="13" spans="1:9" x14ac:dyDescent="0.25">
      <c r="A13" s="2" t="s">
        <v>32</v>
      </c>
      <c r="B13" s="2" t="s">
        <v>7</v>
      </c>
      <c r="C13" s="2">
        <v>2023</v>
      </c>
      <c r="D13" s="3">
        <v>26060389</v>
      </c>
      <c r="E13" s="3">
        <v>78226685</v>
      </c>
      <c r="F13" s="2">
        <v>26</v>
      </c>
      <c r="G13" s="2"/>
      <c r="H13" s="2"/>
      <c r="I13" s="8">
        <v>1.5</v>
      </c>
    </row>
    <row r="14" spans="1:9" x14ac:dyDescent="0.25">
      <c r="A14" s="4" t="s">
        <v>33</v>
      </c>
      <c r="B14" s="4" t="s">
        <v>8</v>
      </c>
      <c r="C14" s="4">
        <v>2023</v>
      </c>
      <c r="D14" s="5">
        <v>23860868</v>
      </c>
      <c r="E14" s="5">
        <v>42629180</v>
      </c>
      <c r="F14" s="4">
        <v>23</v>
      </c>
      <c r="G14" s="4"/>
      <c r="H14" s="4"/>
      <c r="I14" s="9">
        <v>1.4</v>
      </c>
    </row>
    <row r="15" spans="1:9" x14ac:dyDescent="0.25">
      <c r="A15" s="2" t="s">
        <v>34</v>
      </c>
      <c r="B15" s="2" t="s">
        <v>8</v>
      </c>
      <c r="C15" s="2">
        <v>2023</v>
      </c>
      <c r="D15" s="3">
        <v>22825913</v>
      </c>
      <c r="E15" s="3">
        <v>18585492</v>
      </c>
      <c r="F15" s="2">
        <v>9</v>
      </c>
      <c r="G15" s="2"/>
      <c r="H15" s="2"/>
      <c r="I15" s="8">
        <v>1.3</v>
      </c>
    </row>
    <row r="16" spans="1:9" x14ac:dyDescent="0.25">
      <c r="A16" s="4" t="s">
        <v>35</v>
      </c>
      <c r="B16" s="4" t="s">
        <v>7</v>
      </c>
      <c r="C16" s="4">
        <v>2023</v>
      </c>
      <c r="D16" s="5">
        <v>17091616</v>
      </c>
      <c r="E16" s="5">
        <v>35848602</v>
      </c>
      <c r="F16" s="4">
        <v>11</v>
      </c>
      <c r="G16" s="4"/>
      <c r="H16" s="4"/>
      <c r="I16" s="9">
        <v>1</v>
      </c>
    </row>
    <row r="17" spans="1:9" x14ac:dyDescent="0.25">
      <c r="A17" s="2" t="s">
        <v>36</v>
      </c>
      <c r="B17" s="2" t="s">
        <v>8</v>
      </c>
      <c r="C17" s="2">
        <v>2023</v>
      </c>
      <c r="D17" s="3">
        <v>16955304</v>
      </c>
      <c r="E17" s="3">
        <v>10085836</v>
      </c>
      <c r="F17" s="2">
        <v>35</v>
      </c>
      <c r="G17" s="2"/>
      <c r="H17" s="2"/>
      <c r="I17" s="8">
        <v>1</v>
      </c>
    </row>
    <row r="18" spans="1:9" x14ac:dyDescent="0.25">
      <c r="A18" s="4" t="s">
        <v>37</v>
      </c>
      <c r="B18" s="4" t="s">
        <v>7</v>
      </c>
      <c r="C18" s="4">
        <v>2023</v>
      </c>
      <c r="D18" s="5">
        <v>16943121</v>
      </c>
      <c r="E18" s="5">
        <v>66825862</v>
      </c>
      <c r="F18" s="4">
        <v>19</v>
      </c>
      <c r="G18" s="4"/>
      <c r="H18" s="4"/>
      <c r="I18" s="9">
        <v>1</v>
      </c>
    </row>
    <row r="19" spans="1:9" x14ac:dyDescent="0.25">
      <c r="A19" s="2" t="s">
        <v>38</v>
      </c>
      <c r="B19" s="2" t="s">
        <v>7</v>
      </c>
      <c r="C19" s="2">
        <v>2023</v>
      </c>
      <c r="D19" s="3">
        <v>12739892</v>
      </c>
      <c r="E19" s="3">
        <v>6773372</v>
      </c>
      <c r="F19" s="2">
        <v>47</v>
      </c>
      <c r="G19" s="2"/>
      <c r="H19" s="2"/>
      <c r="I19" s="8">
        <v>0.7</v>
      </c>
    </row>
    <row r="20" spans="1:9" x14ac:dyDescent="0.25">
      <c r="A20" s="4" t="s">
        <v>39</v>
      </c>
      <c r="B20" s="4" t="s">
        <v>7</v>
      </c>
      <c r="C20" s="4">
        <v>2023</v>
      </c>
      <c r="D20" s="5">
        <v>12736742</v>
      </c>
      <c r="E20" s="5">
        <v>1980071</v>
      </c>
      <c r="F20" s="4">
        <v>49</v>
      </c>
      <c r="G20" s="4"/>
      <c r="H20" s="4"/>
      <c r="I20" s="9">
        <v>0.7</v>
      </c>
    </row>
    <row r="21" spans="1:9" x14ac:dyDescent="0.25">
      <c r="A21" s="2" t="s">
        <v>40</v>
      </c>
      <c r="B21" s="2" t="s">
        <v>7</v>
      </c>
      <c r="C21" s="2">
        <v>2023</v>
      </c>
      <c r="D21" s="3">
        <v>11169261</v>
      </c>
      <c r="E21" s="3">
        <v>2343577</v>
      </c>
      <c r="F21" s="2">
        <v>32</v>
      </c>
      <c r="G21" s="2"/>
      <c r="H21" s="2"/>
      <c r="I21" s="8">
        <v>0.6</v>
      </c>
    </row>
    <row r="22" spans="1:9" x14ac:dyDescent="0.25">
      <c r="A22" s="4" t="s">
        <v>41</v>
      </c>
      <c r="B22" s="4" t="s">
        <v>7</v>
      </c>
      <c r="C22" s="4">
        <v>2023</v>
      </c>
      <c r="D22" s="5">
        <v>8517567</v>
      </c>
      <c r="E22" s="5">
        <v>4448874</v>
      </c>
      <c r="F22" s="4">
        <v>21</v>
      </c>
      <c r="G22" s="4"/>
      <c r="H22" s="4"/>
      <c r="I22" s="9">
        <v>0.5</v>
      </c>
    </row>
    <row r="23" spans="1:9" x14ac:dyDescent="0.25">
      <c r="A23" s="2" t="s">
        <v>31</v>
      </c>
      <c r="B23" s="2" t="s">
        <v>9</v>
      </c>
      <c r="C23" s="2">
        <v>2023</v>
      </c>
      <c r="D23" s="3">
        <v>9893</v>
      </c>
      <c r="E23" s="3">
        <v>19870</v>
      </c>
      <c r="F23" s="2">
        <v>2</v>
      </c>
      <c r="G23" s="2"/>
      <c r="H23" s="2"/>
      <c r="I23" s="8">
        <v>0</v>
      </c>
    </row>
    <row r="24" spans="1:9" x14ac:dyDescent="0.25">
      <c r="A24" s="4" t="s">
        <v>22</v>
      </c>
      <c r="B24" s="4" t="s">
        <v>7</v>
      </c>
      <c r="C24" s="4">
        <v>2024</v>
      </c>
      <c r="D24" s="5">
        <v>340657017</v>
      </c>
      <c r="E24" s="5">
        <v>689467038</v>
      </c>
      <c r="F24" s="4">
        <v>59</v>
      </c>
      <c r="G24" s="6">
        <v>9.4</v>
      </c>
      <c r="H24" s="6">
        <v>7.5</v>
      </c>
      <c r="I24" s="9">
        <v>17.8</v>
      </c>
    </row>
    <row r="25" spans="1:9" x14ac:dyDescent="0.25">
      <c r="A25" s="2" t="s">
        <v>23</v>
      </c>
      <c r="B25" s="2" t="s">
        <v>7</v>
      </c>
      <c r="C25" s="2">
        <v>2024</v>
      </c>
      <c r="D25" s="3">
        <v>331417218</v>
      </c>
      <c r="E25" s="3">
        <v>154400928</v>
      </c>
      <c r="F25" s="2">
        <v>67</v>
      </c>
      <c r="G25" s="6">
        <v>12.9</v>
      </c>
      <c r="H25" s="6">
        <v>12.5</v>
      </c>
      <c r="I25" s="8">
        <v>17.3</v>
      </c>
    </row>
    <row r="26" spans="1:9" x14ac:dyDescent="0.25">
      <c r="A26" s="4" t="s">
        <v>25</v>
      </c>
      <c r="B26" s="4" t="s">
        <v>7</v>
      </c>
      <c r="C26" s="4">
        <v>2024</v>
      </c>
      <c r="D26" s="5">
        <v>253476658</v>
      </c>
      <c r="E26" s="5">
        <v>407716837</v>
      </c>
      <c r="F26" s="4">
        <v>79</v>
      </c>
      <c r="G26" s="6">
        <v>18.899999999999999</v>
      </c>
      <c r="H26" s="6">
        <v>13.3</v>
      </c>
      <c r="I26" s="9">
        <v>13.2</v>
      </c>
    </row>
    <row r="27" spans="1:9" x14ac:dyDescent="0.25">
      <c r="A27" s="2" t="s">
        <v>24</v>
      </c>
      <c r="B27" s="2" t="s">
        <v>7</v>
      </c>
      <c r="C27" s="2">
        <v>2024</v>
      </c>
      <c r="D27" s="3">
        <v>239364218</v>
      </c>
      <c r="E27" s="3">
        <v>99389644</v>
      </c>
      <c r="F27" s="2">
        <v>104</v>
      </c>
      <c r="G27" s="7">
        <v>-1</v>
      </c>
      <c r="H27" s="6">
        <v>1.5</v>
      </c>
      <c r="I27" s="8">
        <v>12.5</v>
      </c>
    </row>
    <row r="28" spans="1:9" x14ac:dyDescent="0.25">
      <c r="A28" s="4" t="s">
        <v>26</v>
      </c>
      <c r="B28" s="4" t="s">
        <v>8</v>
      </c>
      <c r="C28" s="4">
        <v>2024</v>
      </c>
      <c r="D28" s="5">
        <v>180429346</v>
      </c>
      <c r="E28" s="5">
        <v>280744917</v>
      </c>
      <c r="F28" s="4">
        <v>72</v>
      </c>
      <c r="G28" s="7">
        <v>-2.7</v>
      </c>
      <c r="H28" s="6">
        <v>3.8</v>
      </c>
      <c r="I28" s="9">
        <v>9.4</v>
      </c>
    </row>
    <row r="29" spans="1:9" x14ac:dyDescent="0.25">
      <c r="A29" s="2" t="s">
        <v>27</v>
      </c>
      <c r="B29" s="2" t="s">
        <v>7</v>
      </c>
      <c r="C29" s="2">
        <v>2024</v>
      </c>
      <c r="D29" s="3">
        <v>129425135</v>
      </c>
      <c r="E29" s="3">
        <v>80893919</v>
      </c>
      <c r="F29" s="2">
        <v>15</v>
      </c>
      <c r="G29" s="6">
        <v>22.2</v>
      </c>
      <c r="H29" s="6">
        <v>37</v>
      </c>
      <c r="I29" s="8">
        <v>6.8</v>
      </c>
    </row>
    <row r="30" spans="1:9" x14ac:dyDescent="0.25">
      <c r="A30" s="4" t="s">
        <v>29</v>
      </c>
      <c r="B30" s="4" t="s">
        <v>7</v>
      </c>
      <c r="C30" s="4">
        <v>2024</v>
      </c>
      <c r="D30" s="5">
        <v>90592729</v>
      </c>
      <c r="E30" s="5">
        <v>255030208</v>
      </c>
      <c r="F30" s="4">
        <v>42</v>
      </c>
      <c r="G30" s="6">
        <v>45.1</v>
      </c>
      <c r="H30" s="6">
        <v>47</v>
      </c>
      <c r="I30" s="9">
        <v>4.7</v>
      </c>
    </row>
    <row r="31" spans="1:9" x14ac:dyDescent="0.25">
      <c r="A31" s="2" t="s">
        <v>28</v>
      </c>
      <c r="B31" s="2" t="s">
        <v>8</v>
      </c>
      <c r="C31" s="2">
        <v>2024</v>
      </c>
      <c r="D31" s="3">
        <v>76359996</v>
      </c>
      <c r="E31" s="3">
        <v>54896451</v>
      </c>
      <c r="F31" s="2">
        <v>58</v>
      </c>
      <c r="G31" s="7">
        <v>-11.4</v>
      </c>
      <c r="H31" s="7">
        <v>-11.5</v>
      </c>
      <c r="I31" s="8">
        <v>4</v>
      </c>
    </row>
    <row r="32" spans="1:9" x14ac:dyDescent="0.25">
      <c r="A32" s="4" t="s">
        <v>32</v>
      </c>
      <c r="B32" s="4" t="s">
        <v>7</v>
      </c>
      <c r="C32" s="4">
        <v>2024</v>
      </c>
      <c r="D32" s="5">
        <v>46782089</v>
      </c>
      <c r="E32" s="5">
        <v>137604376</v>
      </c>
      <c r="F32" s="4">
        <v>27</v>
      </c>
      <c r="G32" s="6">
        <v>79.5</v>
      </c>
      <c r="H32" s="6">
        <v>75.900000000000006</v>
      </c>
      <c r="I32" s="9">
        <v>2.4</v>
      </c>
    </row>
    <row r="33" spans="1:9" x14ac:dyDescent="0.25">
      <c r="A33" s="2" t="s">
        <v>30</v>
      </c>
      <c r="B33" s="2" t="s">
        <v>9</v>
      </c>
      <c r="C33" s="2">
        <v>2024</v>
      </c>
      <c r="D33" s="3">
        <v>44560707</v>
      </c>
      <c r="E33" s="3">
        <v>565660207</v>
      </c>
      <c r="F33" s="2">
        <v>7</v>
      </c>
      <c r="G33" s="6">
        <v>17.100000000000001</v>
      </c>
      <c r="H33" s="6">
        <v>14.8</v>
      </c>
      <c r="I33" s="8">
        <v>2.2999999999999998</v>
      </c>
    </row>
    <row r="34" spans="1:9" x14ac:dyDescent="0.25">
      <c r="A34" s="4" t="s">
        <v>31</v>
      </c>
      <c r="B34" s="4" t="s">
        <v>7</v>
      </c>
      <c r="C34" s="4">
        <v>2024</v>
      </c>
      <c r="D34" s="5">
        <v>34507414</v>
      </c>
      <c r="E34" s="5">
        <v>208978240</v>
      </c>
      <c r="F34" s="4">
        <v>18</v>
      </c>
      <c r="G34" s="6">
        <v>0.6</v>
      </c>
      <c r="H34" s="6">
        <v>14.6</v>
      </c>
      <c r="I34" s="9">
        <v>1.8</v>
      </c>
    </row>
    <row r="35" spans="1:9" x14ac:dyDescent="0.25">
      <c r="A35" s="2" t="s">
        <v>37</v>
      </c>
      <c r="B35" s="2" t="s">
        <v>7</v>
      </c>
      <c r="C35" s="2">
        <v>2024</v>
      </c>
      <c r="D35" s="3">
        <v>24396855</v>
      </c>
      <c r="E35" s="3">
        <v>102801369</v>
      </c>
      <c r="F35" s="2">
        <v>24</v>
      </c>
      <c r="G35" s="6">
        <v>44</v>
      </c>
      <c r="H35" s="6">
        <v>53.8</v>
      </c>
      <c r="I35" s="8">
        <v>1.3</v>
      </c>
    </row>
    <row r="36" spans="1:9" x14ac:dyDescent="0.25">
      <c r="A36" s="4" t="s">
        <v>33</v>
      </c>
      <c r="B36" s="4" t="s">
        <v>8</v>
      </c>
      <c r="C36" s="4">
        <v>2024</v>
      </c>
      <c r="D36" s="5">
        <v>21922921</v>
      </c>
      <c r="E36" s="5">
        <v>39424594</v>
      </c>
      <c r="F36" s="4">
        <v>19</v>
      </c>
      <c r="G36" s="7">
        <v>-8.1</v>
      </c>
      <c r="H36" s="7">
        <v>-7.5</v>
      </c>
      <c r="I36" s="9">
        <v>1.1000000000000001</v>
      </c>
    </row>
    <row r="37" spans="1:9" x14ac:dyDescent="0.25">
      <c r="A37" s="2" t="s">
        <v>36</v>
      </c>
      <c r="B37" s="2" t="s">
        <v>8</v>
      </c>
      <c r="C37" s="2">
        <v>2024</v>
      </c>
      <c r="D37" s="3">
        <v>19040969</v>
      </c>
      <c r="E37" s="3">
        <v>11455152</v>
      </c>
      <c r="F37" s="2">
        <v>34</v>
      </c>
      <c r="G37" s="6">
        <v>12.3</v>
      </c>
      <c r="H37" s="6">
        <v>13.6</v>
      </c>
      <c r="I37" s="8">
        <v>1</v>
      </c>
    </row>
    <row r="38" spans="1:9" x14ac:dyDescent="0.25">
      <c r="A38" s="4" t="s">
        <v>34</v>
      </c>
      <c r="B38" s="4" t="s">
        <v>8</v>
      </c>
      <c r="C38" s="4">
        <v>2024</v>
      </c>
      <c r="D38" s="5">
        <v>18958049</v>
      </c>
      <c r="E38" s="5">
        <v>15568942</v>
      </c>
      <c r="F38" s="4">
        <v>10</v>
      </c>
      <c r="G38" s="7">
        <v>-16.899999999999999</v>
      </c>
      <c r="H38" s="7">
        <v>-16.2</v>
      </c>
      <c r="I38" s="9">
        <v>1</v>
      </c>
    </row>
    <row r="39" spans="1:9" x14ac:dyDescent="0.25">
      <c r="A39" s="2" t="s">
        <v>35</v>
      </c>
      <c r="B39" s="2" t="s">
        <v>7</v>
      </c>
      <c r="C39" s="2">
        <v>2024</v>
      </c>
      <c r="D39" s="3">
        <v>16474355</v>
      </c>
      <c r="E39" s="3">
        <v>34080942</v>
      </c>
      <c r="F39" s="2">
        <v>14</v>
      </c>
      <c r="G39" s="7">
        <v>-3.6</v>
      </c>
      <c r="H39" s="7">
        <v>-4.9000000000000004</v>
      </c>
      <c r="I39" s="8">
        <v>0.9</v>
      </c>
    </row>
    <row r="40" spans="1:9" x14ac:dyDescent="0.25">
      <c r="A40" s="4" t="s">
        <v>41</v>
      </c>
      <c r="B40" s="4" t="s">
        <v>7</v>
      </c>
      <c r="C40" s="4">
        <v>2024</v>
      </c>
      <c r="D40" s="5">
        <v>13112707</v>
      </c>
      <c r="E40" s="5">
        <v>6841484</v>
      </c>
      <c r="F40" s="4">
        <v>21</v>
      </c>
      <c r="G40" s="6">
        <v>53.9</v>
      </c>
      <c r="H40" s="6">
        <v>53.8</v>
      </c>
      <c r="I40" s="9">
        <v>0.7</v>
      </c>
    </row>
    <row r="41" spans="1:9" x14ac:dyDescent="0.25">
      <c r="A41" s="2" t="s">
        <v>39</v>
      </c>
      <c r="B41" s="2" t="s">
        <v>7</v>
      </c>
      <c r="C41" s="2">
        <v>2024</v>
      </c>
      <c r="D41" s="3">
        <v>12587261</v>
      </c>
      <c r="E41" s="3">
        <v>2151401</v>
      </c>
      <c r="F41" s="2">
        <v>60</v>
      </c>
      <c r="G41" s="7">
        <v>-1.2</v>
      </c>
      <c r="H41" s="6">
        <v>8.6999999999999993</v>
      </c>
      <c r="I41" s="8">
        <v>0.7</v>
      </c>
    </row>
    <row r="42" spans="1:9" x14ac:dyDescent="0.25">
      <c r="A42" s="4" t="s">
        <v>40</v>
      </c>
      <c r="B42" s="4" t="s">
        <v>7</v>
      </c>
      <c r="C42" s="4">
        <v>2024</v>
      </c>
      <c r="D42" s="5">
        <v>11943030</v>
      </c>
      <c r="E42" s="5">
        <v>2503189</v>
      </c>
      <c r="F42" s="4">
        <v>34</v>
      </c>
      <c r="G42" s="6">
        <v>6.9</v>
      </c>
      <c r="H42" s="6">
        <v>6.8</v>
      </c>
      <c r="I42" s="9">
        <v>0.6</v>
      </c>
    </row>
    <row r="43" spans="1:9" x14ac:dyDescent="0.25">
      <c r="A43" s="2" t="s">
        <v>38</v>
      </c>
      <c r="B43" s="2" t="s">
        <v>7</v>
      </c>
      <c r="C43" s="2">
        <v>2024</v>
      </c>
      <c r="D43" s="3">
        <v>10747434</v>
      </c>
      <c r="E43" s="3">
        <v>6524833</v>
      </c>
      <c r="F43" s="2">
        <v>41</v>
      </c>
      <c r="G43" s="7">
        <v>-15.6</v>
      </c>
      <c r="H43" s="7">
        <v>-3.7</v>
      </c>
      <c r="I43" s="8">
        <v>0.6</v>
      </c>
    </row>
    <row r="44" spans="1:9" x14ac:dyDescent="0.25">
      <c r="A44" s="4" t="s">
        <v>31</v>
      </c>
      <c r="B44" s="4" t="s">
        <v>9</v>
      </c>
      <c r="C44" s="4">
        <v>2024</v>
      </c>
      <c r="D44" s="5">
        <v>10095</v>
      </c>
      <c r="E44" s="5">
        <v>106260</v>
      </c>
      <c r="F44" s="4">
        <v>1</v>
      </c>
      <c r="G44" s="7">
        <v>-100</v>
      </c>
      <c r="H44" s="7">
        <v>-99.9</v>
      </c>
      <c r="I44" s="9">
        <v>0</v>
      </c>
    </row>
    <row r="45" spans="1:9" x14ac:dyDescent="0.25">
      <c r="A45" s="2" t="s">
        <v>22</v>
      </c>
      <c r="B45" s="2" t="s">
        <v>7</v>
      </c>
      <c r="C45" s="2">
        <v>2025</v>
      </c>
      <c r="D45" s="3">
        <v>367778763</v>
      </c>
      <c r="E45" s="3">
        <v>763309624</v>
      </c>
      <c r="F45" s="2">
        <v>67</v>
      </c>
      <c r="G45" s="6">
        <v>8</v>
      </c>
      <c r="H45" s="6">
        <v>10.7</v>
      </c>
      <c r="I45" s="8">
        <v>20</v>
      </c>
    </row>
    <row r="46" spans="1:9" x14ac:dyDescent="0.25">
      <c r="A46" s="4" t="s">
        <v>23</v>
      </c>
      <c r="B46" s="4" t="s">
        <v>7</v>
      </c>
      <c r="C46" s="4">
        <v>2025</v>
      </c>
      <c r="D46" s="5">
        <v>254412297</v>
      </c>
      <c r="E46" s="5">
        <v>122633127</v>
      </c>
      <c r="F46" s="4">
        <v>72</v>
      </c>
      <c r="G46" s="7">
        <v>-23.2</v>
      </c>
      <c r="H46" s="7">
        <v>-20.6</v>
      </c>
      <c r="I46" s="9">
        <v>13.9</v>
      </c>
    </row>
    <row r="47" spans="1:9" x14ac:dyDescent="0.25">
      <c r="A47" s="2" t="s">
        <v>25</v>
      </c>
      <c r="B47" s="2" t="s">
        <v>7</v>
      </c>
      <c r="C47" s="2">
        <v>2025</v>
      </c>
      <c r="D47" s="3">
        <v>240007295</v>
      </c>
      <c r="E47" s="3">
        <v>424965742</v>
      </c>
      <c r="F47" s="2">
        <v>79</v>
      </c>
      <c r="G47" s="7">
        <v>-5.3</v>
      </c>
      <c r="H47" s="6">
        <v>4.2</v>
      </c>
      <c r="I47" s="8">
        <v>13.1</v>
      </c>
    </row>
    <row r="48" spans="1:9" x14ac:dyDescent="0.25">
      <c r="A48" s="4" t="s">
        <v>24</v>
      </c>
      <c r="B48" s="4" t="s">
        <v>7</v>
      </c>
      <c r="C48" s="4">
        <v>2025</v>
      </c>
      <c r="D48" s="5">
        <v>239887000</v>
      </c>
      <c r="E48" s="5">
        <v>102397517</v>
      </c>
      <c r="F48" s="4">
        <v>102</v>
      </c>
      <c r="G48" s="6">
        <v>0.2</v>
      </c>
      <c r="H48" s="6">
        <v>3</v>
      </c>
      <c r="I48" s="9">
        <v>13.1</v>
      </c>
    </row>
    <row r="49" spans="1:9" x14ac:dyDescent="0.25">
      <c r="A49" s="2" t="s">
        <v>26</v>
      </c>
      <c r="B49" s="2" t="s">
        <v>8</v>
      </c>
      <c r="C49" s="2">
        <v>2025</v>
      </c>
      <c r="D49" s="3">
        <v>215572928</v>
      </c>
      <c r="E49" s="3">
        <v>334638980</v>
      </c>
      <c r="F49" s="2">
        <v>71</v>
      </c>
      <c r="G49" s="6">
        <v>19.5</v>
      </c>
      <c r="H49" s="6">
        <v>19.2</v>
      </c>
      <c r="I49" s="8">
        <v>11.7</v>
      </c>
    </row>
    <row r="50" spans="1:9" x14ac:dyDescent="0.25">
      <c r="A50" s="4" t="s">
        <v>27</v>
      </c>
      <c r="B50" s="4" t="s">
        <v>7</v>
      </c>
      <c r="C50" s="4">
        <v>2025</v>
      </c>
      <c r="D50" s="5">
        <v>84191095</v>
      </c>
      <c r="E50" s="5">
        <v>54972476</v>
      </c>
      <c r="F50" s="4">
        <v>17</v>
      </c>
      <c r="G50" s="7">
        <v>-34.9</v>
      </c>
      <c r="H50" s="7">
        <v>-32</v>
      </c>
      <c r="I50" s="9">
        <v>4.5999999999999996</v>
      </c>
    </row>
    <row r="51" spans="1:9" x14ac:dyDescent="0.25">
      <c r="A51" s="2" t="s">
        <v>29</v>
      </c>
      <c r="B51" s="2" t="s">
        <v>7</v>
      </c>
      <c r="C51" s="2">
        <v>2025</v>
      </c>
      <c r="D51" s="3">
        <v>80542238</v>
      </c>
      <c r="E51" s="3">
        <v>228951027</v>
      </c>
      <c r="F51" s="2">
        <v>41</v>
      </c>
      <c r="G51" s="7">
        <v>-11.1</v>
      </c>
      <c r="H51" s="7">
        <v>-10.199999999999999</v>
      </c>
      <c r="I51" s="8">
        <v>4.4000000000000004</v>
      </c>
    </row>
    <row r="52" spans="1:9" x14ac:dyDescent="0.25">
      <c r="A52" s="4" t="s">
        <v>28</v>
      </c>
      <c r="B52" s="4" t="s">
        <v>8</v>
      </c>
      <c r="C52" s="4">
        <v>2025</v>
      </c>
      <c r="D52" s="5">
        <v>78003105</v>
      </c>
      <c r="E52" s="5">
        <v>57455765</v>
      </c>
      <c r="F52" s="4">
        <v>55</v>
      </c>
      <c r="G52" s="6">
        <v>2.2000000000000002</v>
      </c>
      <c r="H52" s="6">
        <v>4.7</v>
      </c>
      <c r="I52" s="9">
        <v>4.2</v>
      </c>
    </row>
    <row r="53" spans="1:9" x14ac:dyDescent="0.25">
      <c r="A53" s="2" t="s">
        <v>31</v>
      </c>
      <c r="B53" s="2" t="s">
        <v>7</v>
      </c>
      <c r="C53" s="2">
        <v>2025</v>
      </c>
      <c r="D53" s="3">
        <v>43544119</v>
      </c>
      <c r="E53" s="3">
        <v>250597542</v>
      </c>
      <c r="F53" s="2">
        <v>18</v>
      </c>
      <c r="G53" s="6">
        <v>431243.4</v>
      </c>
      <c r="H53" s="6">
        <v>235734.3</v>
      </c>
      <c r="I53" s="8">
        <v>2.4</v>
      </c>
    </row>
    <row r="54" spans="1:9" x14ac:dyDescent="0.25">
      <c r="A54" s="4" t="s">
        <v>30</v>
      </c>
      <c r="B54" s="4" t="s">
        <v>9</v>
      </c>
      <c r="C54" s="4">
        <v>2025</v>
      </c>
      <c r="D54" s="5">
        <v>43271868</v>
      </c>
      <c r="E54" s="5">
        <v>541352116</v>
      </c>
      <c r="F54" s="4">
        <v>12</v>
      </c>
      <c r="G54" s="7">
        <v>-2.9</v>
      </c>
      <c r="H54" s="7">
        <v>-4.3</v>
      </c>
      <c r="I54" s="9">
        <v>2.4</v>
      </c>
    </row>
    <row r="55" spans="1:9" x14ac:dyDescent="0.25">
      <c r="A55" s="2" t="s">
        <v>32</v>
      </c>
      <c r="B55" s="2" t="s">
        <v>7</v>
      </c>
      <c r="C55" s="2">
        <v>2025</v>
      </c>
      <c r="D55" s="3">
        <v>38287029</v>
      </c>
      <c r="E55" s="3">
        <v>106136409</v>
      </c>
      <c r="F55" s="2">
        <v>25</v>
      </c>
      <c r="G55" s="7">
        <v>-18.2</v>
      </c>
      <c r="H55" s="7">
        <v>-22.9</v>
      </c>
      <c r="I55" s="8">
        <v>2.1</v>
      </c>
    </row>
    <row r="56" spans="1:9" x14ac:dyDescent="0.25">
      <c r="A56" s="4" t="s">
        <v>37</v>
      </c>
      <c r="B56" s="4" t="s">
        <v>7</v>
      </c>
      <c r="C56" s="4">
        <v>2025</v>
      </c>
      <c r="D56" s="5">
        <v>26241247</v>
      </c>
      <c r="E56" s="5">
        <v>98358208</v>
      </c>
      <c r="F56" s="4">
        <v>21</v>
      </c>
      <c r="G56" s="6">
        <v>7.6</v>
      </c>
      <c r="H56" s="7">
        <v>-4.3</v>
      </c>
      <c r="I56" s="9">
        <v>1.4</v>
      </c>
    </row>
    <row r="57" spans="1:9" x14ac:dyDescent="0.25">
      <c r="A57" s="2" t="s">
        <v>33</v>
      </c>
      <c r="B57" s="2" t="s">
        <v>8</v>
      </c>
      <c r="C57" s="2">
        <v>2025</v>
      </c>
      <c r="D57" s="3">
        <v>25332727</v>
      </c>
      <c r="E57" s="3">
        <v>41452698</v>
      </c>
      <c r="F57" s="2">
        <v>16</v>
      </c>
      <c r="G57" s="6">
        <v>15.6</v>
      </c>
      <c r="H57" s="6">
        <v>5.0999999999999996</v>
      </c>
      <c r="I57" s="8">
        <v>1.4</v>
      </c>
    </row>
    <row r="58" spans="1:9" x14ac:dyDescent="0.25">
      <c r="A58" s="4" t="s">
        <v>36</v>
      </c>
      <c r="B58" s="4" t="s">
        <v>8</v>
      </c>
      <c r="C58" s="4">
        <v>2025</v>
      </c>
      <c r="D58" s="5">
        <v>21773725</v>
      </c>
      <c r="E58" s="5">
        <v>13408394</v>
      </c>
      <c r="F58" s="4">
        <v>36</v>
      </c>
      <c r="G58" s="6">
        <v>14.4</v>
      </c>
      <c r="H58" s="6">
        <v>17.100000000000001</v>
      </c>
      <c r="I58" s="9">
        <v>1.2</v>
      </c>
    </row>
    <row r="59" spans="1:9" x14ac:dyDescent="0.25">
      <c r="A59" s="2" t="s">
        <v>34</v>
      </c>
      <c r="B59" s="2" t="s">
        <v>8</v>
      </c>
      <c r="C59" s="2">
        <v>2025</v>
      </c>
      <c r="D59" s="3">
        <v>17091563</v>
      </c>
      <c r="E59" s="3">
        <v>14867661</v>
      </c>
      <c r="F59" s="2">
        <v>7</v>
      </c>
      <c r="G59" s="7">
        <v>-9.8000000000000007</v>
      </c>
      <c r="H59" s="7">
        <v>-4.5</v>
      </c>
      <c r="I59" s="8">
        <v>0.9</v>
      </c>
    </row>
    <row r="60" spans="1:9" x14ac:dyDescent="0.25">
      <c r="A60" s="4" t="s">
        <v>39</v>
      </c>
      <c r="B60" s="4" t="s">
        <v>7</v>
      </c>
      <c r="C60" s="4">
        <v>2025</v>
      </c>
      <c r="D60" s="5">
        <v>16289110</v>
      </c>
      <c r="E60" s="5">
        <v>3302990</v>
      </c>
      <c r="F60" s="4">
        <v>58</v>
      </c>
      <c r="G60" s="6">
        <v>29.4</v>
      </c>
      <c r="H60" s="6">
        <v>53.5</v>
      </c>
      <c r="I60" s="9">
        <v>0.9</v>
      </c>
    </row>
    <row r="61" spans="1:9" x14ac:dyDescent="0.25">
      <c r="A61" s="2" t="s">
        <v>40</v>
      </c>
      <c r="B61" s="2" t="s">
        <v>7</v>
      </c>
      <c r="C61" s="2">
        <v>2025</v>
      </c>
      <c r="D61" s="3">
        <v>13097092</v>
      </c>
      <c r="E61" s="3">
        <v>2756675</v>
      </c>
      <c r="F61" s="2">
        <v>38</v>
      </c>
      <c r="G61" s="6">
        <v>9.6999999999999993</v>
      </c>
      <c r="H61" s="6">
        <v>10.1</v>
      </c>
      <c r="I61" s="8">
        <v>0.7</v>
      </c>
    </row>
    <row r="62" spans="1:9" x14ac:dyDescent="0.25">
      <c r="A62" s="4" t="s">
        <v>41</v>
      </c>
      <c r="B62" s="4" t="s">
        <v>7</v>
      </c>
      <c r="C62" s="4">
        <v>2025</v>
      </c>
      <c r="D62" s="5">
        <v>12920187</v>
      </c>
      <c r="E62" s="5">
        <v>6991272</v>
      </c>
      <c r="F62" s="4">
        <v>22</v>
      </c>
      <c r="G62" s="7">
        <v>-1.5</v>
      </c>
      <c r="H62" s="6">
        <v>2.2000000000000002</v>
      </c>
      <c r="I62" s="9">
        <v>0.7</v>
      </c>
    </row>
    <row r="63" spans="1:9" x14ac:dyDescent="0.25">
      <c r="A63" s="2" t="s">
        <v>35</v>
      </c>
      <c r="B63" s="2" t="s">
        <v>7</v>
      </c>
      <c r="C63" s="2">
        <v>2025</v>
      </c>
      <c r="D63" s="3">
        <v>9975457</v>
      </c>
      <c r="E63" s="3">
        <v>21160150</v>
      </c>
      <c r="F63" s="2">
        <v>12</v>
      </c>
      <c r="G63" s="7">
        <v>-39.4</v>
      </c>
      <c r="H63" s="7">
        <v>-37.9</v>
      </c>
      <c r="I63" s="8">
        <v>0.5</v>
      </c>
    </row>
    <row r="64" spans="1:9" x14ac:dyDescent="0.25">
      <c r="A64" s="4" t="s">
        <v>38</v>
      </c>
      <c r="B64" s="4" t="s">
        <v>7</v>
      </c>
      <c r="C64" s="4">
        <v>2025</v>
      </c>
      <c r="D64" s="5">
        <v>8387378</v>
      </c>
      <c r="E64" s="5">
        <v>5236304</v>
      </c>
      <c r="F64" s="4">
        <v>44</v>
      </c>
      <c r="G64" s="7">
        <v>-22</v>
      </c>
      <c r="H64" s="7">
        <v>-19.7</v>
      </c>
      <c r="I64" s="9">
        <v>0.5</v>
      </c>
    </row>
  </sheetData>
  <mergeCells count="1">
    <mergeCell ref="A1:I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47"/>
  <sheetViews>
    <sheetView workbookViewId="0">
      <pane ySplit="2" topLeftCell="A21" activePane="bottomLeft" state="frozen"/>
      <selection pane="bottomLeft" activeCell="K28" sqref="K28:M43"/>
    </sheetView>
  </sheetViews>
  <sheetFormatPr defaultRowHeight="15" x14ac:dyDescent="0.25"/>
  <cols>
    <col min="1" max="1" width="25.7109375" customWidth="1"/>
    <col min="2" max="2" width="7.7109375" customWidth="1"/>
    <col min="3" max="3" width="18.7109375" customWidth="1"/>
    <col min="4" max="5" width="14.7109375" customWidth="1"/>
    <col min="6" max="6" width="18.7109375" customWidth="1"/>
    <col min="10" max="10" width="24.85546875" bestFit="1" customWidth="1"/>
    <col min="11" max="11" width="19.85546875" bestFit="1" customWidth="1"/>
    <col min="12" max="13" width="18" bestFit="1" customWidth="1"/>
    <col min="14" max="14" width="12.7109375" bestFit="1" customWidth="1"/>
    <col min="15" max="15" width="24.85546875" bestFit="1" customWidth="1"/>
    <col min="16" max="16" width="19.5703125" bestFit="1" customWidth="1"/>
    <col min="17" max="17" width="30" bestFit="1" customWidth="1"/>
    <col min="18" max="18" width="24.5703125" bestFit="1" customWidth="1"/>
  </cols>
  <sheetData>
    <row r="1" spans="1:13" ht="20.100000000000001" customHeight="1" x14ac:dyDescent="0.25">
      <c r="A1" s="18" t="s">
        <v>60</v>
      </c>
      <c r="B1" s="18"/>
      <c r="C1" s="18"/>
      <c r="D1" s="18"/>
      <c r="E1" s="18"/>
      <c r="F1" s="18"/>
    </row>
    <row r="2" spans="1:13" ht="38.1" customHeight="1" x14ac:dyDescent="0.25">
      <c r="A2" s="1" t="s">
        <v>43</v>
      </c>
      <c r="B2" s="1" t="s">
        <v>0</v>
      </c>
      <c r="C2" s="1" t="s">
        <v>3</v>
      </c>
      <c r="D2" s="1" t="s">
        <v>44</v>
      </c>
      <c r="E2" s="1" t="s">
        <v>4</v>
      </c>
      <c r="F2" s="1" t="s">
        <v>21</v>
      </c>
    </row>
    <row r="3" spans="1:13" x14ac:dyDescent="0.25">
      <c r="A3" s="2" t="s">
        <v>45</v>
      </c>
      <c r="B3" s="2">
        <v>2023</v>
      </c>
      <c r="C3" s="3">
        <v>723280923</v>
      </c>
      <c r="D3" s="2">
        <v>37</v>
      </c>
      <c r="E3" s="2"/>
      <c r="F3" s="8">
        <v>50.8</v>
      </c>
    </row>
    <row r="4" spans="1:13" x14ac:dyDescent="0.25">
      <c r="A4" s="4" t="s">
        <v>46</v>
      </c>
      <c r="B4" s="4">
        <v>2023</v>
      </c>
      <c r="C4" s="5">
        <v>153202777</v>
      </c>
      <c r="D4" s="4">
        <v>23</v>
      </c>
      <c r="E4" s="4"/>
      <c r="F4" s="9">
        <v>10.8</v>
      </c>
      <c r="J4" s="21" t="s">
        <v>288</v>
      </c>
      <c r="K4" s="21" t="s">
        <v>287</v>
      </c>
    </row>
    <row r="5" spans="1:13" x14ac:dyDescent="0.25">
      <c r="A5" s="2" t="s">
        <v>47</v>
      </c>
      <c r="B5" s="2">
        <v>2023</v>
      </c>
      <c r="C5" s="3">
        <v>87028975</v>
      </c>
      <c r="D5" s="2">
        <v>25</v>
      </c>
      <c r="E5" s="2"/>
      <c r="F5" s="8">
        <v>6.1</v>
      </c>
      <c r="J5" s="21" t="s">
        <v>285</v>
      </c>
      <c r="K5">
        <v>2023</v>
      </c>
      <c r="L5">
        <v>2024</v>
      </c>
      <c r="M5">
        <v>2025</v>
      </c>
    </row>
    <row r="6" spans="1:13" x14ac:dyDescent="0.25">
      <c r="A6" s="4" t="s">
        <v>48</v>
      </c>
      <c r="B6" s="4">
        <v>2023</v>
      </c>
      <c r="C6" s="5">
        <v>69220751</v>
      </c>
      <c r="D6" s="4">
        <v>19</v>
      </c>
      <c r="E6" s="4"/>
      <c r="F6" s="9">
        <v>4.9000000000000004</v>
      </c>
      <c r="J6" s="22" t="s">
        <v>45</v>
      </c>
      <c r="K6" s="23">
        <v>723280923</v>
      </c>
      <c r="L6" s="23">
        <v>795507656</v>
      </c>
      <c r="M6" s="23">
        <v>620674476</v>
      </c>
    </row>
    <row r="7" spans="1:13" x14ac:dyDescent="0.25">
      <c r="A7" s="2" t="s">
        <v>49</v>
      </c>
      <c r="B7" s="2">
        <v>2023</v>
      </c>
      <c r="C7" s="3">
        <v>64952176</v>
      </c>
      <c r="D7" s="2">
        <v>15</v>
      </c>
      <c r="E7" s="2"/>
      <c r="F7" s="8">
        <v>4.5999999999999996</v>
      </c>
      <c r="J7" s="22" t="s">
        <v>46</v>
      </c>
      <c r="K7" s="23">
        <v>153202777</v>
      </c>
      <c r="L7" s="23">
        <v>170959556</v>
      </c>
      <c r="M7" s="23">
        <v>121592734</v>
      </c>
    </row>
    <row r="8" spans="1:13" x14ac:dyDescent="0.25">
      <c r="A8" s="4" t="s">
        <v>50</v>
      </c>
      <c r="B8" s="4">
        <v>2023</v>
      </c>
      <c r="C8" s="5">
        <v>46403510</v>
      </c>
      <c r="D8" s="4">
        <v>29</v>
      </c>
      <c r="E8" s="4"/>
      <c r="F8" s="9">
        <v>3.3</v>
      </c>
      <c r="J8" s="22" t="s">
        <v>47</v>
      </c>
      <c r="K8" s="23">
        <v>87028975</v>
      </c>
      <c r="L8" s="23">
        <v>90166519</v>
      </c>
      <c r="M8" s="23">
        <v>112984340</v>
      </c>
    </row>
    <row r="9" spans="1:13" x14ac:dyDescent="0.25">
      <c r="A9" s="2" t="s">
        <v>51</v>
      </c>
      <c r="B9" s="2">
        <v>2023</v>
      </c>
      <c r="C9" s="3">
        <v>44801970</v>
      </c>
      <c r="D9" s="2">
        <v>37</v>
      </c>
      <c r="E9" s="2"/>
      <c r="F9" s="8">
        <v>3.1</v>
      </c>
      <c r="J9" s="22" t="s">
        <v>48</v>
      </c>
      <c r="K9" s="23">
        <v>69220751</v>
      </c>
      <c r="L9" s="23">
        <v>90551205</v>
      </c>
      <c r="M9" s="23">
        <v>74596402</v>
      </c>
    </row>
    <row r="10" spans="1:13" x14ac:dyDescent="0.25">
      <c r="A10" s="4" t="s">
        <v>52</v>
      </c>
      <c r="B10" s="4">
        <v>2023</v>
      </c>
      <c r="C10" s="5">
        <v>41029832</v>
      </c>
      <c r="D10" s="4">
        <v>40</v>
      </c>
      <c r="E10" s="4"/>
      <c r="F10" s="9">
        <v>2.9</v>
      </c>
      <c r="J10" s="22" t="s">
        <v>49</v>
      </c>
      <c r="K10" s="23">
        <v>64952176</v>
      </c>
      <c r="L10" s="23">
        <v>70754482</v>
      </c>
      <c r="M10" s="23">
        <v>58626278</v>
      </c>
    </row>
    <row r="11" spans="1:13" x14ac:dyDescent="0.25">
      <c r="A11" s="2" t="s">
        <v>53</v>
      </c>
      <c r="B11" s="2">
        <v>2023</v>
      </c>
      <c r="C11" s="3">
        <v>39170824</v>
      </c>
      <c r="D11" s="2">
        <v>21</v>
      </c>
      <c r="E11" s="2"/>
      <c r="F11" s="8">
        <v>2.8</v>
      </c>
      <c r="J11" s="22" t="s">
        <v>53</v>
      </c>
      <c r="K11" s="23">
        <v>39170824</v>
      </c>
      <c r="L11" s="23">
        <v>42152987</v>
      </c>
      <c r="M11" s="23">
        <v>51785123</v>
      </c>
    </row>
    <row r="12" spans="1:13" x14ac:dyDescent="0.25">
      <c r="A12" s="4" t="s">
        <v>54</v>
      </c>
      <c r="B12" s="4">
        <v>2023</v>
      </c>
      <c r="C12" s="5">
        <v>33800606</v>
      </c>
      <c r="D12" s="4">
        <v>7</v>
      </c>
      <c r="E12" s="4"/>
      <c r="F12" s="9">
        <v>2.4</v>
      </c>
      <c r="J12" s="22" t="s">
        <v>52</v>
      </c>
      <c r="K12" s="23">
        <v>41029832</v>
      </c>
      <c r="L12" s="23">
        <v>47079948</v>
      </c>
      <c r="M12" s="23">
        <v>51321376</v>
      </c>
    </row>
    <row r="13" spans="1:13" x14ac:dyDescent="0.25">
      <c r="A13" s="2" t="s">
        <v>55</v>
      </c>
      <c r="B13" s="2">
        <v>2023</v>
      </c>
      <c r="C13" s="3">
        <v>33258296</v>
      </c>
      <c r="D13" s="2">
        <v>19</v>
      </c>
      <c r="E13" s="2"/>
      <c r="F13" s="8">
        <v>2.2999999999999998</v>
      </c>
      <c r="J13" s="22" t="s">
        <v>51</v>
      </c>
      <c r="K13" s="23">
        <v>44801970</v>
      </c>
      <c r="L13" s="23">
        <v>49456801</v>
      </c>
      <c r="M13" s="23">
        <v>50995340</v>
      </c>
    </row>
    <row r="14" spans="1:13" x14ac:dyDescent="0.25">
      <c r="A14" s="4" t="s">
        <v>56</v>
      </c>
      <c r="B14" s="4">
        <v>2023</v>
      </c>
      <c r="C14" s="5">
        <v>27331768</v>
      </c>
      <c r="D14" s="4">
        <v>21</v>
      </c>
      <c r="E14" s="4"/>
      <c r="F14" s="9">
        <v>1.9</v>
      </c>
      <c r="J14" s="22" t="s">
        <v>58</v>
      </c>
      <c r="K14" s="23">
        <v>22027506</v>
      </c>
      <c r="L14" s="23">
        <v>34284139</v>
      </c>
      <c r="M14" s="23">
        <v>43843449</v>
      </c>
    </row>
    <row r="15" spans="1:13" x14ac:dyDescent="0.25">
      <c r="A15" s="2" t="s">
        <v>57</v>
      </c>
      <c r="B15" s="2">
        <v>2023</v>
      </c>
      <c r="C15" s="3">
        <v>22510814</v>
      </c>
      <c r="D15" s="2">
        <v>15</v>
      </c>
      <c r="E15" s="2"/>
      <c r="F15" s="8">
        <v>1.6</v>
      </c>
      <c r="J15" s="22" t="s">
        <v>54</v>
      </c>
      <c r="K15" s="23">
        <v>33800606</v>
      </c>
      <c r="L15" s="23">
        <v>34143342</v>
      </c>
      <c r="M15" s="23">
        <v>42576504</v>
      </c>
    </row>
    <row r="16" spans="1:13" x14ac:dyDescent="0.25">
      <c r="A16" s="4" t="s">
        <v>58</v>
      </c>
      <c r="B16" s="4">
        <v>2023</v>
      </c>
      <c r="C16" s="5">
        <v>22027506</v>
      </c>
      <c r="D16" s="4">
        <v>26</v>
      </c>
      <c r="E16" s="4"/>
      <c r="F16" s="9">
        <v>1.5</v>
      </c>
      <c r="J16" s="22" t="s">
        <v>50</v>
      </c>
      <c r="K16" s="23">
        <v>46403510</v>
      </c>
      <c r="L16" s="23">
        <v>30057565</v>
      </c>
      <c r="M16" s="23">
        <v>40938832</v>
      </c>
    </row>
    <row r="17" spans="1:13" x14ac:dyDescent="0.25">
      <c r="A17" s="2" t="s">
        <v>59</v>
      </c>
      <c r="B17" s="2">
        <v>2023</v>
      </c>
      <c r="C17" s="3">
        <v>15863672</v>
      </c>
      <c r="D17" s="2">
        <v>20</v>
      </c>
      <c r="E17" s="2"/>
      <c r="F17" s="8">
        <v>1.1000000000000001</v>
      </c>
      <c r="J17" s="22" t="s">
        <v>57</v>
      </c>
      <c r="K17" s="23">
        <v>22510814</v>
      </c>
      <c r="L17" s="23">
        <v>21164236</v>
      </c>
      <c r="M17" s="23">
        <v>37800095</v>
      </c>
    </row>
    <row r="18" spans="1:13" x14ac:dyDescent="0.25">
      <c r="A18" s="4" t="s">
        <v>45</v>
      </c>
      <c r="B18" s="4">
        <v>2024</v>
      </c>
      <c r="C18" s="5">
        <v>795507656</v>
      </c>
      <c r="D18" s="4">
        <v>37</v>
      </c>
      <c r="E18" s="6">
        <v>10</v>
      </c>
      <c r="F18" s="9">
        <v>51.1</v>
      </c>
      <c r="J18" s="22" t="s">
        <v>59</v>
      </c>
      <c r="K18" s="23">
        <v>15863672</v>
      </c>
      <c r="L18" s="23">
        <v>17274955</v>
      </c>
      <c r="M18" s="23">
        <v>33583344</v>
      </c>
    </row>
    <row r="19" spans="1:13" x14ac:dyDescent="0.25">
      <c r="A19" s="2" t="s">
        <v>46</v>
      </c>
      <c r="B19" s="2">
        <v>2024</v>
      </c>
      <c r="C19" s="3">
        <v>170959556</v>
      </c>
      <c r="D19" s="2">
        <v>26</v>
      </c>
      <c r="E19" s="6">
        <v>11.6</v>
      </c>
      <c r="F19" s="8">
        <v>11</v>
      </c>
      <c r="J19" s="22" t="s">
        <v>56</v>
      </c>
      <c r="K19" s="23">
        <v>27331768</v>
      </c>
      <c r="L19" s="23">
        <v>28847085</v>
      </c>
      <c r="M19" s="23">
        <v>31471327</v>
      </c>
    </row>
    <row r="20" spans="1:13" x14ac:dyDescent="0.25">
      <c r="A20" s="4" t="s">
        <v>48</v>
      </c>
      <c r="B20" s="4">
        <v>2024</v>
      </c>
      <c r="C20" s="5">
        <v>90551205</v>
      </c>
      <c r="D20" s="4">
        <v>20</v>
      </c>
      <c r="E20" s="6">
        <v>30.8</v>
      </c>
      <c r="F20" s="9">
        <v>5.8</v>
      </c>
      <c r="J20" s="22" t="s">
        <v>55</v>
      </c>
      <c r="K20" s="23">
        <v>33258296</v>
      </c>
      <c r="L20" s="23">
        <v>33391245</v>
      </c>
      <c r="M20" s="23">
        <v>30081892</v>
      </c>
    </row>
    <row r="21" spans="1:13" x14ac:dyDescent="0.25">
      <c r="A21" s="2" t="s">
        <v>47</v>
      </c>
      <c r="B21" s="2">
        <v>2024</v>
      </c>
      <c r="C21" s="3">
        <v>90166519</v>
      </c>
      <c r="D21" s="2">
        <v>30</v>
      </c>
      <c r="E21" s="6">
        <v>3.6</v>
      </c>
      <c r="F21" s="8">
        <v>5.8</v>
      </c>
      <c r="J21" s="22" t="s">
        <v>286</v>
      </c>
      <c r="K21" s="23">
        <v>1423884400</v>
      </c>
      <c r="L21" s="23">
        <v>1555791721</v>
      </c>
      <c r="M21" s="23">
        <v>1402871512</v>
      </c>
    </row>
    <row r="22" spans="1:13" x14ac:dyDescent="0.25">
      <c r="A22" s="4" t="s">
        <v>49</v>
      </c>
      <c r="B22" s="4">
        <v>2024</v>
      </c>
      <c r="C22" s="5">
        <v>70754482</v>
      </c>
      <c r="D22" s="4">
        <v>22</v>
      </c>
      <c r="E22" s="6">
        <v>8.9</v>
      </c>
      <c r="F22" s="9">
        <v>4.5</v>
      </c>
    </row>
    <row r="23" spans="1:13" x14ac:dyDescent="0.25">
      <c r="A23" s="2" t="s">
        <v>51</v>
      </c>
      <c r="B23" s="2">
        <v>2024</v>
      </c>
      <c r="C23" s="3">
        <v>49456801</v>
      </c>
      <c r="D23" s="2">
        <v>36</v>
      </c>
      <c r="E23" s="6">
        <v>10.4</v>
      </c>
      <c r="F23" s="8">
        <v>3.2</v>
      </c>
    </row>
    <row r="24" spans="1:13" x14ac:dyDescent="0.25">
      <c r="A24" s="4" t="s">
        <v>52</v>
      </c>
      <c r="B24" s="4">
        <v>2024</v>
      </c>
      <c r="C24" s="5">
        <v>47079948</v>
      </c>
      <c r="D24" s="4">
        <v>38</v>
      </c>
      <c r="E24" s="6">
        <v>14.7</v>
      </c>
      <c r="F24" s="9">
        <v>3</v>
      </c>
    </row>
    <row r="25" spans="1:13" x14ac:dyDescent="0.25">
      <c r="A25" s="2" t="s">
        <v>53</v>
      </c>
      <c r="B25" s="2">
        <v>2024</v>
      </c>
      <c r="C25" s="3">
        <v>42152987</v>
      </c>
      <c r="D25" s="2">
        <v>18</v>
      </c>
      <c r="E25" s="6">
        <v>7.6</v>
      </c>
      <c r="F25" s="8">
        <v>2.7</v>
      </c>
    </row>
    <row r="26" spans="1:13" x14ac:dyDescent="0.25">
      <c r="A26" s="4" t="s">
        <v>58</v>
      </c>
      <c r="B26" s="4">
        <v>2024</v>
      </c>
      <c r="C26" s="5">
        <v>34284139</v>
      </c>
      <c r="D26" s="4">
        <v>26</v>
      </c>
      <c r="E26" s="6">
        <v>55.6</v>
      </c>
      <c r="F26" s="9">
        <v>2.2000000000000002</v>
      </c>
    </row>
    <row r="27" spans="1:13" x14ac:dyDescent="0.25">
      <c r="A27" s="2" t="s">
        <v>54</v>
      </c>
      <c r="B27" s="2">
        <v>2024</v>
      </c>
      <c r="C27" s="3">
        <v>34143342</v>
      </c>
      <c r="D27" s="2">
        <v>8</v>
      </c>
      <c r="E27" s="6">
        <v>1</v>
      </c>
      <c r="F27" s="8">
        <v>2.2000000000000002</v>
      </c>
      <c r="J27" t="s">
        <v>285</v>
      </c>
      <c r="K27">
        <v>2023</v>
      </c>
      <c r="L27">
        <v>2024</v>
      </c>
      <c r="M27">
        <v>2025</v>
      </c>
    </row>
    <row r="28" spans="1:13" x14ac:dyDescent="0.25">
      <c r="A28" s="4" t="s">
        <v>55</v>
      </c>
      <c r="B28" s="4">
        <v>2024</v>
      </c>
      <c r="C28" s="5">
        <v>33391245</v>
      </c>
      <c r="D28" s="4">
        <v>19</v>
      </c>
      <c r="E28" s="6">
        <v>0.4</v>
      </c>
      <c r="F28" s="9">
        <v>2.1</v>
      </c>
      <c r="J28" t="s">
        <v>45</v>
      </c>
      <c r="K28" s="24">
        <v>723280923</v>
      </c>
      <c r="L28" s="24">
        <v>795507656</v>
      </c>
      <c r="M28" s="24">
        <v>620674476</v>
      </c>
    </row>
    <row r="29" spans="1:13" x14ac:dyDescent="0.25">
      <c r="A29" s="2" t="s">
        <v>50</v>
      </c>
      <c r="B29" s="2">
        <v>2024</v>
      </c>
      <c r="C29" s="3">
        <v>30057565</v>
      </c>
      <c r="D29" s="2">
        <v>29</v>
      </c>
      <c r="E29" s="7">
        <v>-35.200000000000003</v>
      </c>
      <c r="F29" s="8">
        <v>1.9</v>
      </c>
      <c r="J29" t="s">
        <v>46</v>
      </c>
      <c r="K29" s="24">
        <v>153202777</v>
      </c>
      <c r="L29" s="24">
        <v>170959556</v>
      </c>
      <c r="M29" s="24">
        <v>121592734</v>
      </c>
    </row>
    <row r="30" spans="1:13" x14ac:dyDescent="0.25">
      <c r="A30" s="4" t="s">
        <v>56</v>
      </c>
      <c r="B30" s="4">
        <v>2024</v>
      </c>
      <c r="C30" s="5">
        <v>28847085</v>
      </c>
      <c r="D30" s="4">
        <v>20</v>
      </c>
      <c r="E30" s="6">
        <v>5.5</v>
      </c>
      <c r="F30" s="9">
        <v>1.9</v>
      </c>
      <c r="J30" t="s">
        <v>47</v>
      </c>
      <c r="K30" s="24">
        <v>87028975</v>
      </c>
      <c r="L30" s="24">
        <v>90166519</v>
      </c>
      <c r="M30" s="24">
        <v>112984340</v>
      </c>
    </row>
    <row r="31" spans="1:13" x14ac:dyDescent="0.25">
      <c r="A31" s="2" t="s">
        <v>57</v>
      </c>
      <c r="B31" s="2">
        <v>2024</v>
      </c>
      <c r="C31" s="3">
        <v>21164236</v>
      </c>
      <c r="D31" s="2">
        <v>14</v>
      </c>
      <c r="E31" s="7">
        <v>-6</v>
      </c>
      <c r="F31" s="8">
        <v>1.4</v>
      </c>
      <c r="J31" t="s">
        <v>48</v>
      </c>
      <c r="K31" s="24">
        <v>69220751</v>
      </c>
      <c r="L31" s="24">
        <v>90551205</v>
      </c>
      <c r="M31" s="24">
        <v>74596402</v>
      </c>
    </row>
    <row r="32" spans="1:13" x14ac:dyDescent="0.25">
      <c r="A32" s="4" t="s">
        <v>59</v>
      </c>
      <c r="B32" s="4">
        <v>2024</v>
      </c>
      <c r="C32" s="5">
        <v>17274955</v>
      </c>
      <c r="D32" s="4">
        <v>17</v>
      </c>
      <c r="E32" s="6">
        <v>8.9</v>
      </c>
      <c r="F32" s="9">
        <v>1.1000000000000001</v>
      </c>
      <c r="J32" t="s">
        <v>49</v>
      </c>
      <c r="K32" s="24">
        <v>64952176</v>
      </c>
      <c r="L32" s="24">
        <v>70754482</v>
      </c>
      <c r="M32" s="24">
        <v>58626278</v>
      </c>
    </row>
    <row r="33" spans="1:13" x14ac:dyDescent="0.25">
      <c r="A33" s="2" t="s">
        <v>45</v>
      </c>
      <c r="B33" s="2">
        <v>2025</v>
      </c>
      <c r="C33" s="3">
        <v>620674476</v>
      </c>
      <c r="D33" s="2">
        <v>34</v>
      </c>
      <c r="E33" s="7">
        <v>-22</v>
      </c>
      <c r="F33" s="8">
        <v>44.2</v>
      </c>
      <c r="J33" t="s">
        <v>53</v>
      </c>
      <c r="K33" s="24">
        <v>39170824</v>
      </c>
      <c r="L33" s="24">
        <v>42152987</v>
      </c>
      <c r="M33" s="24">
        <v>51785123</v>
      </c>
    </row>
    <row r="34" spans="1:13" x14ac:dyDescent="0.25">
      <c r="A34" s="4" t="s">
        <v>46</v>
      </c>
      <c r="B34" s="4">
        <v>2025</v>
      </c>
      <c r="C34" s="5">
        <v>121592734</v>
      </c>
      <c r="D34" s="4">
        <v>26</v>
      </c>
      <c r="E34" s="7">
        <v>-28.9</v>
      </c>
      <c r="F34" s="9">
        <v>8.6999999999999993</v>
      </c>
      <c r="J34" t="s">
        <v>52</v>
      </c>
      <c r="K34" s="24">
        <v>41029832</v>
      </c>
      <c r="L34" s="24">
        <v>47079948</v>
      </c>
      <c r="M34" s="24">
        <v>51321376</v>
      </c>
    </row>
    <row r="35" spans="1:13" x14ac:dyDescent="0.25">
      <c r="A35" s="2" t="s">
        <v>47</v>
      </c>
      <c r="B35" s="2">
        <v>2025</v>
      </c>
      <c r="C35" s="3">
        <v>112984340</v>
      </c>
      <c r="D35" s="2">
        <v>29</v>
      </c>
      <c r="E35" s="6">
        <v>25.3</v>
      </c>
      <c r="F35" s="8">
        <v>8.1</v>
      </c>
      <c r="J35" t="s">
        <v>51</v>
      </c>
      <c r="K35" s="24">
        <v>44801970</v>
      </c>
      <c r="L35" s="24">
        <v>49456801</v>
      </c>
      <c r="M35" s="24">
        <v>50995340</v>
      </c>
    </row>
    <row r="36" spans="1:13" x14ac:dyDescent="0.25">
      <c r="A36" s="4" t="s">
        <v>48</v>
      </c>
      <c r="B36" s="4">
        <v>2025</v>
      </c>
      <c r="C36" s="5">
        <v>74596402</v>
      </c>
      <c r="D36" s="4">
        <v>16</v>
      </c>
      <c r="E36" s="7">
        <v>-17.600000000000001</v>
      </c>
      <c r="F36" s="9">
        <v>5.3</v>
      </c>
      <c r="J36" t="s">
        <v>58</v>
      </c>
      <c r="K36" s="24">
        <v>22027506</v>
      </c>
      <c r="L36" s="24">
        <v>34284139</v>
      </c>
      <c r="M36" s="24">
        <v>43843449</v>
      </c>
    </row>
    <row r="37" spans="1:13" x14ac:dyDescent="0.25">
      <c r="A37" s="2" t="s">
        <v>49</v>
      </c>
      <c r="B37" s="2">
        <v>2025</v>
      </c>
      <c r="C37" s="3">
        <v>58626278</v>
      </c>
      <c r="D37" s="2">
        <v>20</v>
      </c>
      <c r="E37" s="7">
        <v>-17.100000000000001</v>
      </c>
      <c r="F37" s="8">
        <v>4.2</v>
      </c>
      <c r="J37" t="s">
        <v>54</v>
      </c>
      <c r="K37" s="24">
        <v>33800606</v>
      </c>
      <c r="L37" s="24">
        <v>34143342</v>
      </c>
      <c r="M37" s="24">
        <v>42576504</v>
      </c>
    </row>
    <row r="38" spans="1:13" x14ac:dyDescent="0.25">
      <c r="A38" s="4" t="s">
        <v>53</v>
      </c>
      <c r="B38" s="4">
        <v>2025</v>
      </c>
      <c r="C38" s="5">
        <v>51785123</v>
      </c>
      <c r="D38" s="4">
        <v>17</v>
      </c>
      <c r="E38" s="6">
        <v>22.9</v>
      </c>
      <c r="F38" s="9">
        <v>3.7</v>
      </c>
      <c r="J38" t="s">
        <v>50</v>
      </c>
      <c r="K38" s="24">
        <v>46403510</v>
      </c>
      <c r="L38" s="24">
        <v>30057565</v>
      </c>
      <c r="M38" s="24">
        <v>40938832</v>
      </c>
    </row>
    <row r="39" spans="1:13" x14ac:dyDescent="0.25">
      <c r="A39" s="2" t="s">
        <v>52</v>
      </c>
      <c r="B39" s="2">
        <v>2025</v>
      </c>
      <c r="C39" s="3">
        <v>51321376</v>
      </c>
      <c r="D39" s="2">
        <v>38</v>
      </c>
      <c r="E39" s="6">
        <v>9</v>
      </c>
      <c r="F39" s="8">
        <v>3.7</v>
      </c>
      <c r="J39" t="s">
        <v>57</v>
      </c>
      <c r="K39" s="24">
        <v>22510814</v>
      </c>
      <c r="L39" s="24">
        <v>21164236</v>
      </c>
      <c r="M39" s="24">
        <v>37800095</v>
      </c>
    </row>
    <row r="40" spans="1:13" x14ac:dyDescent="0.25">
      <c r="A40" s="4" t="s">
        <v>51</v>
      </c>
      <c r="B40" s="4">
        <v>2025</v>
      </c>
      <c r="C40" s="5">
        <v>50995340</v>
      </c>
      <c r="D40" s="4">
        <v>40</v>
      </c>
      <c r="E40" s="6">
        <v>3.1</v>
      </c>
      <c r="F40" s="9">
        <v>3.6</v>
      </c>
      <c r="J40" t="s">
        <v>59</v>
      </c>
      <c r="K40" s="24">
        <v>15863672</v>
      </c>
      <c r="L40" s="24">
        <v>17274955</v>
      </c>
      <c r="M40" s="24">
        <v>33583344</v>
      </c>
    </row>
    <row r="41" spans="1:13" x14ac:dyDescent="0.25">
      <c r="A41" s="2" t="s">
        <v>58</v>
      </c>
      <c r="B41" s="2">
        <v>2025</v>
      </c>
      <c r="C41" s="3">
        <v>43843449</v>
      </c>
      <c r="D41" s="2">
        <v>29</v>
      </c>
      <c r="E41" s="6">
        <v>27.9</v>
      </c>
      <c r="F41" s="8">
        <v>3.1</v>
      </c>
      <c r="J41" t="s">
        <v>56</v>
      </c>
      <c r="K41" s="24">
        <v>27331768</v>
      </c>
      <c r="L41" s="24">
        <v>28847085</v>
      </c>
      <c r="M41" s="24">
        <v>31471327</v>
      </c>
    </row>
    <row r="42" spans="1:13" x14ac:dyDescent="0.25">
      <c r="A42" s="4" t="s">
        <v>54</v>
      </c>
      <c r="B42" s="4">
        <v>2025</v>
      </c>
      <c r="C42" s="5">
        <v>42576504</v>
      </c>
      <c r="D42" s="4">
        <v>7</v>
      </c>
      <c r="E42" s="6">
        <v>24.7</v>
      </c>
      <c r="F42" s="9">
        <v>3</v>
      </c>
      <c r="J42" t="s">
        <v>55</v>
      </c>
      <c r="K42" s="24">
        <v>33258296</v>
      </c>
      <c r="L42" s="24">
        <v>33391245</v>
      </c>
      <c r="M42" s="24">
        <v>30081892</v>
      </c>
    </row>
    <row r="43" spans="1:13" x14ac:dyDescent="0.25">
      <c r="A43" s="2" t="s">
        <v>50</v>
      </c>
      <c r="B43" s="2">
        <v>2025</v>
      </c>
      <c r="C43" s="3">
        <v>40938832</v>
      </c>
      <c r="D43" s="2">
        <v>29</v>
      </c>
      <c r="E43" s="6">
        <v>36.200000000000003</v>
      </c>
      <c r="F43" s="8">
        <v>2.9</v>
      </c>
      <c r="J43" t="s">
        <v>286</v>
      </c>
      <c r="K43" s="24">
        <v>1423884400</v>
      </c>
      <c r="L43" s="24">
        <v>1555791721</v>
      </c>
      <c r="M43" s="24">
        <v>1402871512</v>
      </c>
    </row>
    <row r="44" spans="1:13" x14ac:dyDescent="0.25">
      <c r="A44" s="4" t="s">
        <v>57</v>
      </c>
      <c r="B44" s="4">
        <v>2025</v>
      </c>
      <c r="C44" s="5">
        <v>37800095</v>
      </c>
      <c r="D44" s="4">
        <v>13</v>
      </c>
      <c r="E44" s="6">
        <v>78.599999999999994</v>
      </c>
      <c r="F44" s="9">
        <v>2.7</v>
      </c>
    </row>
    <row r="45" spans="1:13" x14ac:dyDescent="0.25">
      <c r="A45" s="2" t="s">
        <v>59</v>
      </c>
      <c r="B45" s="2">
        <v>2025</v>
      </c>
      <c r="C45" s="3">
        <v>33583344</v>
      </c>
      <c r="D45" s="2">
        <v>19</v>
      </c>
      <c r="E45" s="6">
        <v>94.4</v>
      </c>
      <c r="F45" s="8">
        <v>2.4</v>
      </c>
    </row>
    <row r="46" spans="1:13" x14ac:dyDescent="0.25">
      <c r="A46" s="4" t="s">
        <v>56</v>
      </c>
      <c r="B46" s="4">
        <v>2025</v>
      </c>
      <c r="C46" s="5">
        <v>31471327</v>
      </c>
      <c r="D46" s="4">
        <v>17</v>
      </c>
      <c r="E46" s="6">
        <v>9.1</v>
      </c>
      <c r="F46" s="9">
        <v>2.2000000000000002</v>
      </c>
    </row>
    <row r="47" spans="1:13" x14ac:dyDescent="0.25">
      <c r="A47" s="2" t="s">
        <v>55</v>
      </c>
      <c r="B47" s="2">
        <v>2025</v>
      </c>
      <c r="C47" s="3">
        <v>30081892</v>
      </c>
      <c r="D47" s="2">
        <v>15</v>
      </c>
      <c r="E47" s="7">
        <v>-9.9</v>
      </c>
      <c r="F47" s="8">
        <v>2.1</v>
      </c>
    </row>
  </sheetData>
  <mergeCells count="1"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3"/>
  <sheetViews>
    <sheetView workbookViewId="0">
      <pane ySplit="2" topLeftCell="A3" activePane="bottomLeft" state="frozen"/>
      <selection pane="bottomLeft" sqref="A1:G1"/>
    </sheetView>
  </sheetViews>
  <sheetFormatPr defaultRowHeight="15" x14ac:dyDescent="0.25"/>
  <cols>
    <col min="1" max="1" width="7.7109375" customWidth="1"/>
    <col min="2" max="3" width="16.7109375" customWidth="1"/>
    <col min="4" max="4" width="21.7109375" customWidth="1"/>
    <col min="5" max="5" width="24.7109375" customWidth="1"/>
    <col min="6" max="6" width="23.7109375" customWidth="1"/>
    <col min="7" max="7" width="22.7109375" customWidth="1"/>
  </cols>
  <sheetData>
    <row r="1" spans="1:7" ht="20.100000000000001" customHeight="1" x14ac:dyDescent="0.25">
      <c r="A1" s="18" t="s">
        <v>67</v>
      </c>
      <c r="B1" s="18"/>
      <c r="C1" s="18"/>
      <c r="D1" s="18"/>
      <c r="E1" s="18"/>
      <c r="F1" s="18"/>
      <c r="G1" s="18"/>
    </row>
    <row r="2" spans="1:7" ht="38.1" customHeight="1" x14ac:dyDescent="0.25">
      <c r="A2" s="1" t="s">
        <v>0</v>
      </c>
      <c r="B2" s="1" t="s">
        <v>61</v>
      </c>
      <c r="C2" s="1" t="s">
        <v>62</v>
      </c>
      <c r="D2" s="1" t="s">
        <v>63</v>
      </c>
      <c r="E2" s="1" t="s">
        <v>64</v>
      </c>
      <c r="F2" s="1" t="s">
        <v>65</v>
      </c>
      <c r="G2" s="1" t="s">
        <v>66</v>
      </c>
    </row>
    <row r="3" spans="1:7" x14ac:dyDescent="0.25">
      <c r="A3" s="2">
        <v>2015</v>
      </c>
      <c r="B3" s="3">
        <v>1060374575</v>
      </c>
      <c r="C3" s="3">
        <v>7640214652</v>
      </c>
      <c r="D3" s="8">
        <v>13.878858426083919</v>
      </c>
      <c r="E3" s="2"/>
      <c r="F3" s="2"/>
      <c r="G3" s="2"/>
    </row>
    <row r="4" spans="1:7" x14ac:dyDescent="0.25">
      <c r="A4" s="4">
        <v>2016</v>
      </c>
      <c r="B4" s="5">
        <v>1103337447</v>
      </c>
      <c r="C4" s="5">
        <v>7591469375</v>
      </c>
      <c r="D4" s="9">
        <v>14.53391158546299</v>
      </c>
      <c r="E4" s="6">
        <v>4.0999999999999996</v>
      </c>
      <c r="F4" s="7">
        <v>-0.6</v>
      </c>
      <c r="G4" s="6">
        <v>0.66</v>
      </c>
    </row>
    <row r="5" spans="1:7" x14ac:dyDescent="0.25">
      <c r="A5" s="2">
        <v>2017</v>
      </c>
      <c r="B5" s="3">
        <v>1302656800</v>
      </c>
      <c r="C5" s="3">
        <v>8506602807</v>
      </c>
      <c r="D5" s="8">
        <v>15.31347859486347</v>
      </c>
      <c r="E5" s="6">
        <v>18.100000000000001</v>
      </c>
      <c r="F5" s="6">
        <v>12.1</v>
      </c>
      <c r="G5" s="6">
        <v>0.78</v>
      </c>
    </row>
    <row r="6" spans="1:7" x14ac:dyDescent="0.25">
      <c r="A6" s="4">
        <v>2018</v>
      </c>
      <c r="B6" s="5">
        <v>1495404122</v>
      </c>
      <c r="C6" s="5">
        <v>9271832402</v>
      </c>
      <c r="D6" s="9">
        <v>16.128463686179561</v>
      </c>
      <c r="E6" s="6">
        <v>14.8</v>
      </c>
      <c r="F6" s="6">
        <v>9</v>
      </c>
      <c r="G6" s="6">
        <v>0.81</v>
      </c>
    </row>
    <row r="7" spans="1:7" x14ac:dyDescent="0.25">
      <c r="A7" s="2">
        <v>2019</v>
      </c>
      <c r="B7" s="3">
        <v>1426001920</v>
      </c>
      <c r="C7" s="3">
        <v>8951855776</v>
      </c>
      <c r="D7" s="8">
        <v>15.92967933892683</v>
      </c>
      <c r="E7" s="7">
        <v>-4.5999999999999996</v>
      </c>
      <c r="F7" s="7">
        <v>-3.5</v>
      </c>
      <c r="G7" s="7">
        <v>-0.2</v>
      </c>
    </row>
    <row r="8" spans="1:7" x14ac:dyDescent="0.25">
      <c r="A8" s="4">
        <v>2020</v>
      </c>
      <c r="B8" s="5">
        <v>1539823381</v>
      </c>
      <c r="C8" s="5">
        <v>8127704094</v>
      </c>
      <c r="D8" s="9">
        <v>18.945367144169559</v>
      </c>
      <c r="E8" s="6">
        <v>8</v>
      </c>
      <c r="F8" s="7">
        <v>-9.1999999999999993</v>
      </c>
      <c r="G8" s="6">
        <v>3.02</v>
      </c>
    </row>
    <row r="9" spans="1:7" x14ac:dyDescent="0.25">
      <c r="A9" s="2">
        <v>2021</v>
      </c>
      <c r="B9" s="3">
        <v>2145305632</v>
      </c>
      <c r="C9" s="3">
        <v>10295984158</v>
      </c>
      <c r="D9" s="8">
        <v>20.836333847047481</v>
      </c>
      <c r="E9" s="6">
        <v>39.299999999999997</v>
      </c>
      <c r="F9" s="6">
        <v>26.7</v>
      </c>
      <c r="G9" s="6">
        <v>1.89</v>
      </c>
    </row>
    <row r="10" spans="1:7" x14ac:dyDescent="0.25">
      <c r="A10" s="4">
        <v>2022</v>
      </c>
      <c r="B10" s="5">
        <v>2309618035</v>
      </c>
      <c r="C10" s="5">
        <v>11966468596</v>
      </c>
      <c r="D10" s="9">
        <v>19.300748725250731</v>
      </c>
      <c r="E10" s="6">
        <v>7.7</v>
      </c>
      <c r="F10" s="6">
        <v>16.2</v>
      </c>
      <c r="G10" s="7">
        <v>-1.54</v>
      </c>
    </row>
    <row r="11" spans="1:7" x14ac:dyDescent="0.25">
      <c r="A11" s="2">
        <v>2023</v>
      </c>
      <c r="B11" s="3">
        <v>1766523806</v>
      </c>
      <c r="C11" s="3">
        <v>11577616761</v>
      </c>
      <c r="D11" s="8">
        <v>15.258095361652121</v>
      </c>
      <c r="E11" s="7">
        <v>-23.5</v>
      </c>
      <c r="F11" s="7">
        <v>-3.2</v>
      </c>
      <c r="G11" s="7">
        <v>-4.04</v>
      </c>
    </row>
    <row r="12" spans="1:7" x14ac:dyDescent="0.25">
      <c r="A12" s="4">
        <v>2024</v>
      </c>
      <c r="B12" s="5">
        <v>1944148561</v>
      </c>
      <c r="C12" s="5">
        <v>11655277052</v>
      </c>
      <c r="D12" s="9">
        <v>16.68041482262656</v>
      </c>
      <c r="E12" s="6">
        <v>10.1</v>
      </c>
      <c r="F12" s="6">
        <v>0.7</v>
      </c>
      <c r="G12" s="6">
        <v>1.42</v>
      </c>
    </row>
    <row r="13" spans="1:7" x14ac:dyDescent="0.25">
      <c r="A13" s="2">
        <v>2025</v>
      </c>
      <c r="B13" s="3">
        <v>1861447458</v>
      </c>
      <c r="C13" s="3">
        <v>12196578870</v>
      </c>
      <c r="D13" s="8">
        <v>15.26204583958059</v>
      </c>
      <c r="E13" s="7">
        <v>-4.3</v>
      </c>
      <c r="F13" s="6">
        <v>4.5999999999999996</v>
      </c>
      <c r="G13" s="7">
        <v>-1.42</v>
      </c>
    </row>
  </sheetData>
  <mergeCells count="1">
    <mergeCell ref="A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2"/>
  <sheetViews>
    <sheetView workbookViewId="0">
      <pane ySplit="2" topLeftCell="A3" activePane="bottomLeft" state="frozen"/>
      <selection pane="bottomLeft" activeCell="E2" sqref="E2"/>
    </sheetView>
  </sheetViews>
  <sheetFormatPr defaultRowHeight="15" x14ac:dyDescent="0.25"/>
  <cols>
    <col min="1" max="1" width="38.7109375" customWidth="1"/>
    <col min="2" max="2" width="21.7109375" customWidth="1"/>
    <col min="3" max="5" width="15.7109375" customWidth="1"/>
    <col min="6" max="8" width="14.7109375" customWidth="1"/>
    <col min="9" max="10" width="16.7109375" customWidth="1"/>
    <col min="11" max="11" width="19.7109375" customWidth="1"/>
    <col min="12" max="12" width="18.7109375" customWidth="1"/>
  </cols>
  <sheetData>
    <row r="1" spans="1:12" ht="20.100000000000001" customHeight="1" x14ac:dyDescent="0.25">
      <c r="A1" s="18" t="s">
        <v>78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12" ht="38.1" customHeight="1" x14ac:dyDescent="0.25">
      <c r="A2" s="1" t="s">
        <v>17</v>
      </c>
      <c r="B2" s="1" t="s">
        <v>2</v>
      </c>
      <c r="C2" s="1" t="s">
        <v>68</v>
      </c>
      <c r="D2" s="1" t="s">
        <v>69</v>
      </c>
      <c r="E2" s="1" t="s">
        <v>70</v>
      </c>
      <c r="F2" s="1" t="s">
        <v>71</v>
      </c>
      <c r="G2" s="1" t="s">
        <v>72</v>
      </c>
      <c r="H2" s="1" t="s">
        <v>73</v>
      </c>
      <c r="I2" s="1" t="s">
        <v>74</v>
      </c>
      <c r="J2" s="1" t="s">
        <v>75</v>
      </c>
      <c r="K2" s="1" t="s">
        <v>76</v>
      </c>
      <c r="L2" s="1" t="s">
        <v>77</v>
      </c>
    </row>
    <row r="3" spans="1:12" x14ac:dyDescent="0.25">
      <c r="A3" s="2" t="s">
        <v>22</v>
      </c>
      <c r="B3" s="2" t="s">
        <v>7</v>
      </c>
      <c r="C3" s="3">
        <v>311299909</v>
      </c>
      <c r="D3" s="3">
        <v>340657017</v>
      </c>
      <c r="E3" s="3">
        <v>367778763</v>
      </c>
      <c r="F3" s="3">
        <v>641650783</v>
      </c>
      <c r="G3" s="3">
        <v>689467038</v>
      </c>
      <c r="H3" s="3">
        <v>763309624</v>
      </c>
      <c r="I3" s="6">
        <v>9.4</v>
      </c>
      <c r="J3" s="6">
        <v>8</v>
      </c>
      <c r="K3" s="6">
        <v>10.7</v>
      </c>
      <c r="L3" s="10">
        <v>27121746</v>
      </c>
    </row>
    <row r="4" spans="1:12" x14ac:dyDescent="0.25">
      <c r="A4" s="4" t="s">
        <v>23</v>
      </c>
      <c r="B4" s="4" t="s">
        <v>7</v>
      </c>
      <c r="C4" s="5">
        <v>293467151</v>
      </c>
      <c r="D4" s="5">
        <v>331417218</v>
      </c>
      <c r="E4" s="5">
        <v>254412297</v>
      </c>
      <c r="F4" s="5">
        <v>137215604</v>
      </c>
      <c r="G4" s="5">
        <v>154400928</v>
      </c>
      <c r="H4" s="5">
        <v>122633127</v>
      </c>
      <c r="I4" s="6">
        <v>12.9</v>
      </c>
      <c r="J4" s="7">
        <v>-23.2</v>
      </c>
      <c r="K4" s="7">
        <v>-20.6</v>
      </c>
      <c r="L4" s="11">
        <v>-77004921</v>
      </c>
    </row>
    <row r="5" spans="1:12" x14ac:dyDescent="0.25">
      <c r="A5" s="2" t="s">
        <v>25</v>
      </c>
      <c r="B5" s="2" t="s">
        <v>7</v>
      </c>
      <c r="C5" s="3">
        <v>213167588</v>
      </c>
      <c r="D5" s="3">
        <v>253476658</v>
      </c>
      <c r="E5" s="3">
        <v>240007295</v>
      </c>
      <c r="F5" s="3">
        <v>359788885</v>
      </c>
      <c r="G5" s="3">
        <v>407716837</v>
      </c>
      <c r="H5" s="3">
        <v>424965742</v>
      </c>
      <c r="I5" s="6">
        <v>18.899999999999999</v>
      </c>
      <c r="J5" s="7">
        <v>-5.3</v>
      </c>
      <c r="K5" s="6">
        <v>4.2</v>
      </c>
      <c r="L5" s="11">
        <v>-13469363</v>
      </c>
    </row>
    <row r="6" spans="1:12" x14ac:dyDescent="0.25">
      <c r="A6" s="4" t="s">
        <v>24</v>
      </c>
      <c r="B6" s="4" t="s">
        <v>7</v>
      </c>
      <c r="C6" s="5">
        <v>241818630</v>
      </c>
      <c r="D6" s="5">
        <v>239364218</v>
      </c>
      <c r="E6" s="5">
        <v>239887000</v>
      </c>
      <c r="F6" s="5">
        <v>97903120</v>
      </c>
      <c r="G6" s="5">
        <v>99389644</v>
      </c>
      <c r="H6" s="5">
        <v>102397517</v>
      </c>
      <c r="I6" s="7">
        <v>-1</v>
      </c>
      <c r="J6" s="6">
        <v>0.2</v>
      </c>
      <c r="K6" s="6">
        <v>3</v>
      </c>
      <c r="L6" s="10">
        <v>522782</v>
      </c>
    </row>
    <row r="7" spans="1:12" x14ac:dyDescent="0.25">
      <c r="A7" s="2" t="s">
        <v>26</v>
      </c>
      <c r="B7" s="2" t="s">
        <v>8</v>
      </c>
      <c r="C7" s="3">
        <v>185438423</v>
      </c>
      <c r="D7" s="3">
        <v>180429346</v>
      </c>
      <c r="E7" s="3">
        <v>215572928</v>
      </c>
      <c r="F7" s="3">
        <v>270537096</v>
      </c>
      <c r="G7" s="3">
        <v>280744917</v>
      </c>
      <c r="H7" s="3">
        <v>334638980</v>
      </c>
      <c r="I7" s="7">
        <v>-2.7</v>
      </c>
      <c r="J7" s="6">
        <v>19.5</v>
      </c>
      <c r="K7" s="6">
        <v>19.2</v>
      </c>
      <c r="L7" s="10">
        <v>35143582</v>
      </c>
    </row>
    <row r="8" spans="1:12" x14ac:dyDescent="0.25">
      <c r="A8" s="4" t="s">
        <v>27</v>
      </c>
      <c r="B8" s="4" t="s">
        <v>7</v>
      </c>
      <c r="C8" s="5">
        <v>105893194</v>
      </c>
      <c r="D8" s="5">
        <v>129425135</v>
      </c>
      <c r="E8" s="5">
        <v>84191095</v>
      </c>
      <c r="F8" s="5">
        <v>59053449</v>
      </c>
      <c r="G8" s="5">
        <v>80893919</v>
      </c>
      <c r="H8" s="5">
        <v>54972476</v>
      </c>
      <c r="I8" s="6">
        <v>22.2</v>
      </c>
      <c r="J8" s="7">
        <v>-34.9</v>
      </c>
      <c r="K8" s="7">
        <v>-32</v>
      </c>
      <c r="L8" s="11">
        <v>-45234040</v>
      </c>
    </row>
    <row r="9" spans="1:12" x14ac:dyDescent="0.25">
      <c r="A9" s="2" t="s">
        <v>29</v>
      </c>
      <c r="B9" s="2" t="s">
        <v>7</v>
      </c>
      <c r="C9" s="3">
        <v>62423423</v>
      </c>
      <c r="D9" s="3">
        <v>90592729</v>
      </c>
      <c r="E9" s="3">
        <v>80542238</v>
      </c>
      <c r="F9" s="3">
        <v>173465859</v>
      </c>
      <c r="G9" s="3">
        <v>255030208</v>
      </c>
      <c r="H9" s="3">
        <v>228951027</v>
      </c>
      <c r="I9" s="6">
        <v>45.1</v>
      </c>
      <c r="J9" s="7">
        <v>-11.1</v>
      </c>
      <c r="K9" s="7">
        <v>-10.199999999999999</v>
      </c>
      <c r="L9" s="11">
        <v>-10050491</v>
      </c>
    </row>
    <row r="10" spans="1:12" x14ac:dyDescent="0.25">
      <c r="A10" s="4" t="s">
        <v>28</v>
      </c>
      <c r="B10" s="4" t="s">
        <v>8</v>
      </c>
      <c r="C10" s="5">
        <v>86183901</v>
      </c>
      <c r="D10" s="5">
        <v>76359996</v>
      </c>
      <c r="E10" s="5">
        <v>78003105</v>
      </c>
      <c r="F10" s="5">
        <v>62046915</v>
      </c>
      <c r="G10" s="5">
        <v>54896451</v>
      </c>
      <c r="H10" s="5">
        <v>57455765</v>
      </c>
      <c r="I10" s="7">
        <v>-11.4</v>
      </c>
      <c r="J10" s="6">
        <v>2.2000000000000002</v>
      </c>
      <c r="K10" s="6">
        <v>4.7</v>
      </c>
      <c r="L10" s="10">
        <v>1643109</v>
      </c>
    </row>
    <row r="11" spans="1:12" x14ac:dyDescent="0.25">
      <c r="A11" s="2" t="s">
        <v>31</v>
      </c>
      <c r="B11" s="2" t="s">
        <v>7</v>
      </c>
      <c r="C11" s="3">
        <v>34285443</v>
      </c>
      <c r="D11" s="3">
        <v>34507414</v>
      </c>
      <c r="E11" s="3">
        <v>43544119</v>
      </c>
      <c r="F11" s="3">
        <v>182364323</v>
      </c>
      <c r="G11" s="3">
        <v>208978240</v>
      </c>
      <c r="H11" s="3">
        <v>250597542</v>
      </c>
      <c r="I11" s="6">
        <v>0.6</v>
      </c>
      <c r="J11" s="6">
        <v>26.2</v>
      </c>
      <c r="K11" s="6">
        <v>19.899999999999999</v>
      </c>
      <c r="L11" s="10">
        <v>9036705</v>
      </c>
    </row>
    <row r="12" spans="1:12" x14ac:dyDescent="0.25">
      <c r="A12" s="4" t="s">
        <v>30</v>
      </c>
      <c r="B12" s="4" t="s">
        <v>9</v>
      </c>
      <c r="C12" s="5">
        <v>38059989</v>
      </c>
      <c r="D12" s="5">
        <v>44560707</v>
      </c>
      <c r="E12" s="5">
        <v>43271868</v>
      </c>
      <c r="F12" s="5">
        <v>492522368</v>
      </c>
      <c r="G12" s="5">
        <v>565660207</v>
      </c>
      <c r="H12" s="5">
        <v>541352116</v>
      </c>
      <c r="I12" s="6">
        <v>17.100000000000001</v>
      </c>
      <c r="J12" s="7">
        <v>-2.9</v>
      </c>
      <c r="K12" s="7">
        <v>-4.3</v>
      </c>
      <c r="L12" s="11">
        <v>-1288839</v>
      </c>
    </row>
    <row r="13" spans="1:12" x14ac:dyDescent="0.25">
      <c r="A13" s="2" t="s">
        <v>32</v>
      </c>
      <c r="B13" s="2" t="s">
        <v>7</v>
      </c>
      <c r="C13" s="3">
        <v>26060389</v>
      </c>
      <c r="D13" s="3">
        <v>46782089</v>
      </c>
      <c r="E13" s="3">
        <v>38287029</v>
      </c>
      <c r="F13" s="3">
        <v>78226685</v>
      </c>
      <c r="G13" s="3">
        <v>137604376</v>
      </c>
      <c r="H13" s="3">
        <v>106136409</v>
      </c>
      <c r="I13" s="6">
        <v>79.5</v>
      </c>
      <c r="J13" s="7">
        <v>-18.2</v>
      </c>
      <c r="K13" s="7">
        <v>-22.9</v>
      </c>
      <c r="L13" s="11">
        <v>-8495060</v>
      </c>
    </row>
    <row r="14" spans="1:12" x14ac:dyDescent="0.25">
      <c r="A14" s="4" t="s">
        <v>37</v>
      </c>
      <c r="B14" s="4" t="s">
        <v>7</v>
      </c>
      <c r="C14" s="5">
        <v>16943121</v>
      </c>
      <c r="D14" s="5">
        <v>24396855</v>
      </c>
      <c r="E14" s="5">
        <v>26241247</v>
      </c>
      <c r="F14" s="5">
        <v>66825862</v>
      </c>
      <c r="G14" s="5">
        <v>102801369</v>
      </c>
      <c r="H14" s="5">
        <v>98358208</v>
      </c>
      <c r="I14" s="6">
        <v>44</v>
      </c>
      <c r="J14" s="6">
        <v>7.6</v>
      </c>
      <c r="K14" s="7">
        <v>-4.3</v>
      </c>
      <c r="L14" s="10">
        <v>1844392</v>
      </c>
    </row>
    <row r="15" spans="1:12" x14ac:dyDescent="0.25">
      <c r="A15" s="2" t="s">
        <v>33</v>
      </c>
      <c r="B15" s="2" t="s">
        <v>8</v>
      </c>
      <c r="C15" s="3">
        <v>23860868</v>
      </c>
      <c r="D15" s="3">
        <v>21922921</v>
      </c>
      <c r="E15" s="3">
        <v>25332727</v>
      </c>
      <c r="F15" s="3">
        <v>42629180</v>
      </c>
      <c r="G15" s="3">
        <v>39424594</v>
      </c>
      <c r="H15" s="3">
        <v>41452698</v>
      </c>
      <c r="I15" s="7">
        <v>-8.1</v>
      </c>
      <c r="J15" s="6">
        <v>15.6</v>
      </c>
      <c r="K15" s="6">
        <v>5.0999999999999996</v>
      </c>
      <c r="L15" s="10">
        <v>3409806</v>
      </c>
    </row>
    <row r="16" spans="1:12" x14ac:dyDescent="0.25">
      <c r="A16" s="4" t="s">
        <v>36</v>
      </c>
      <c r="B16" s="4" t="s">
        <v>8</v>
      </c>
      <c r="C16" s="5">
        <v>16955304</v>
      </c>
      <c r="D16" s="5">
        <v>19040969</v>
      </c>
      <c r="E16" s="5">
        <v>21773725</v>
      </c>
      <c r="F16" s="5">
        <v>10085836</v>
      </c>
      <c r="G16" s="5">
        <v>11455152</v>
      </c>
      <c r="H16" s="5">
        <v>13408394</v>
      </c>
      <c r="I16" s="6">
        <v>12.3</v>
      </c>
      <c r="J16" s="6">
        <v>14.4</v>
      </c>
      <c r="K16" s="6">
        <v>17.100000000000001</v>
      </c>
      <c r="L16" s="10">
        <v>2732756</v>
      </c>
    </row>
    <row r="17" spans="1:12" x14ac:dyDescent="0.25">
      <c r="A17" s="2" t="s">
        <v>34</v>
      </c>
      <c r="B17" s="2" t="s">
        <v>8</v>
      </c>
      <c r="C17" s="3">
        <v>22825913</v>
      </c>
      <c r="D17" s="3">
        <v>18958049</v>
      </c>
      <c r="E17" s="3">
        <v>17091563</v>
      </c>
      <c r="F17" s="3">
        <v>18585492</v>
      </c>
      <c r="G17" s="3">
        <v>15568942</v>
      </c>
      <c r="H17" s="3">
        <v>14867661</v>
      </c>
      <c r="I17" s="7">
        <v>-16.899999999999999</v>
      </c>
      <c r="J17" s="7">
        <v>-9.8000000000000007</v>
      </c>
      <c r="K17" s="7">
        <v>-4.5</v>
      </c>
      <c r="L17" s="11">
        <v>-1866486</v>
      </c>
    </row>
    <row r="18" spans="1:12" x14ac:dyDescent="0.25">
      <c r="A18" s="4" t="s">
        <v>39</v>
      </c>
      <c r="B18" s="4" t="s">
        <v>7</v>
      </c>
      <c r="C18" s="5">
        <v>12736742</v>
      </c>
      <c r="D18" s="5">
        <v>12587261</v>
      </c>
      <c r="E18" s="5">
        <v>16289110</v>
      </c>
      <c r="F18" s="5">
        <v>1980071</v>
      </c>
      <c r="G18" s="5">
        <v>2151401</v>
      </c>
      <c r="H18" s="5">
        <v>3302990</v>
      </c>
      <c r="I18" s="7">
        <v>-1.2</v>
      </c>
      <c r="J18" s="6">
        <v>29.4</v>
      </c>
      <c r="K18" s="6">
        <v>53.5</v>
      </c>
      <c r="L18" s="10">
        <v>3701849</v>
      </c>
    </row>
    <row r="19" spans="1:12" x14ac:dyDescent="0.25">
      <c r="A19" s="2" t="s">
        <v>40</v>
      </c>
      <c r="B19" s="2" t="s">
        <v>7</v>
      </c>
      <c r="C19" s="3">
        <v>11169261</v>
      </c>
      <c r="D19" s="3">
        <v>11943030</v>
      </c>
      <c r="E19" s="3">
        <v>13097092</v>
      </c>
      <c r="F19" s="3">
        <v>2343577</v>
      </c>
      <c r="G19" s="3">
        <v>2503189</v>
      </c>
      <c r="H19" s="3">
        <v>2756675</v>
      </c>
      <c r="I19" s="6">
        <v>6.9</v>
      </c>
      <c r="J19" s="6">
        <v>9.6999999999999993</v>
      </c>
      <c r="K19" s="6">
        <v>10.1</v>
      </c>
      <c r="L19" s="10">
        <v>1154062</v>
      </c>
    </row>
    <row r="20" spans="1:12" x14ac:dyDescent="0.25">
      <c r="A20" s="4" t="s">
        <v>41</v>
      </c>
      <c r="B20" s="4" t="s">
        <v>7</v>
      </c>
      <c r="C20" s="5">
        <v>8517567</v>
      </c>
      <c r="D20" s="5">
        <v>13112707</v>
      </c>
      <c r="E20" s="5">
        <v>12920187</v>
      </c>
      <c r="F20" s="5">
        <v>4448874</v>
      </c>
      <c r="G20" s="5">
        <v>6841484</v>
      </c>
      <c r="H20" s="5">
        <v>6991272</v>
      </c>
      <c r="I20" s="6">
        <v>53.9</v>
      </c>
      <c r="J20" s="7">
        <v>-1.5</v>
      </c>
      <c r="K20" s="6">
        <v>2.2000000000000002</v>
      </c>
      <c r="L20" s="11">
        <v>-192520</v>
      </c>
    </row>
    <row r="21" spans="1:12" x14ac:dyDescent="0.25">
      <c r="A21" s="2" t="s">
        <v>35</v>
      </c>
      <c r="B21" s="2" t="s">
        <v>7</v>
      </c>
      <c r="C21" s="3">
        <v>17091616</v>
      </c>
      <c r="D21" s="3">
        <v>16474355</v>
      </c>
      <c r="E21" s="3">
        <v>9975457</v>
      </c>
      <c r="F21" s="3">
        <v>35848602</v>
      </c>
      <c r="G21" s="3">
        <v>34080942</v>
      </c>
      <c r="H21" s="3">
        <v>21160150</v>
      </c>
      <c r="I21" s="7">
        <v>-3.6</v>
      </c>
      <c r="J21" s="7">
        <v>-39.4</v>
      </c>
      <c r="K21" s="7">
        <v>-37.9</v>
      </c>
      <c r="L21" s="11">
        <v>-6498898</v>
      </c>
    </row>
    <row r="22" spans="1:12" x14ac:dyDescent="0.25">
      <c r="A22" s="4" t="s">
        <v>38</v>
      </c>
      <c r="B22" s="4" t="s">
        <v>7</v>
      </c>
      <c r="C22" s="5">
        <v>12739892</v>
      </c>
      <c r="D22" s="5">
        <v>10747434</v>
      </c>
      <c r="E22" s="5">
        <v>8387378</v>
      </c>
      <c r="F22" s="5">
        <v>6773372</v>
      </c>
      <c r="G22" s="5">
        <v>6524833</v>
      </c>
      <c r="H22" s="5">
        <v>5236304</v>
      </c>
      <c r="I22" s="7">
        <v>-15.6</v>
      </c>
      <c r="J22" s="7">
        <v>-22</v>
      </c>
      <c r="K22" s="7">
        <v>-19.7</v>
      </c>
      <c r="L22" s="11">
        <v>-2360056</v>
      </c>
    </row>
  </sheetData>
  <autoFilter ref="A2:L22" xr:uid="{00000000-0001-0000-0500-000000000000}"/>
  <mergeCells count="1">
    <mergeCell ref="A1:L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90"/>
  <sheetViews>
    <sheetView tabSelected="1" topLeftCell="B1" workbookViewId="0">
      <pane ySplit="2" topLeftCell="A3" activePane="bottomLeft" state="frozen"/>
      <selection pane="bottomLeft" activeCell="L7" sqref="L7"/>
    </sheetView>
  </sheetViews>
  <sheetFormatPr defaultRowHeight="15" x14ac:dyDescent="0.25"/>
  <cols>
    <col min="1" max="1" width="21.7109375" customWidth="1"/>
    <col min="2" max="2" width="25.7109375" customWidth="1"/>
    <col min="3" max="3" width="7.7109375" customWidth="1"/>
    <col min="4" max="4" width="18.7109375" customWidth="1"/>
    <col min="5" max="5" width="14.7109375" customWidth="1"/>
    <col min="6" max="6" width="22.7109375" customWidth="1"/>
    <col min="11" max="11" width="24.85546875" bestFit="1" customWidth="1"/>
    <col min="12" max="12" width="19.5703125" bestFit="1" customWidth="1"/>
    <col min="13" max="15" width="12.7109375" bestFit="1" customWidth="1"/>
  </cols>
  <sheetData>
    <row r="1" spans="1:15" ht="20.100000000000001" customHeight="1" x14ac:dyDescent="0.25">
      <c r="A1" s="18" t="s">
        <v>87</v>
      </c>
      <c r="B1" s="18"/>
      <c r="C1" s="18"/>
      <c r="D1" s="18"/>
      <c r="E1" s="18"/>
      <c r="F1" s="18"/>
    </row>
    <row r="2" spans="1:15" ht="38.1" customHeight="1" x14ac:dyDescent="0.25">
      <c r="A2" s="1" t="s">
        <v>2</v>
      </c>
      <c r="B2" s="1" t="s">
        <v>43</v>
      </c>
      <c r="C2" s="1" t="s">
        <v>0</v>
      </c>
      <c r="D2" s="1" t="s">
        <v>3</v>
      </c>
      <c r="E2" s="1" t="s">
        <v>4</v>
      </c>
      <c r="F2" s="1" t="s">
        <v>79</v>
      </c>
    </row>
    <row r="3" spans="1:15" x14ac:dyDescent="0.25">
      <c r="A3" s="2" t="s">
        <v>7</v>
      </c>
      <c r="B3" s="2" t="s">
        <v>45</v>
      </c>
      <c r="C3" s="2">
        <v>2023</v>
      </c>
      <c r="D3" s="3">
        <v>685508260</v>
      </c>
      <c r="E3" s="2"/>
      <c r="F3" s="8">
        <v>63.8</v>
      </c>
      <c r="K3" s="21" t="s">
        <v>2</v>
      </c>
      <c r="L3" t="s">
        <v>7</v>
      </c>
    </row>
    <row r="4" spans="1:15" x14ac:dyDescent="0.25">
      <c r="A4" s="4" t="s">
        <v>7</v>
      </c>
      <c r="B4" s="4" t="s">
        <v>46</v>
      </c>
      <c r="C4" s="4">
        <v>2023</v>
      </c>
      <c r="D4" s="5">
        <v>129542144</v>
      </c>
      <c r="E4" s="4"/>
      <c r="F4" s="9">
        <v>12.1</v>
      </c>
    </row>
    <row r="5" spans="1:15" x14ac:dyDescent="0.25">
      <c r="A5" s="2" t="s">
        <v>7</v>
      </c>
      <c r="B5" s="2" t="s">
        <v>49</v>
      </c>
      <c r="C5" s="2">
        <v>2023</v>
      </c>
      <c r="D5" s="3">
        <v>64883261</v>
      </c>
      <c r="E5" s="2"/>
      <c r="F5" s="8">
        <v>6</v>
      </c>
      <c r="K5" s="21" t="s">
        <v>288</v>
      </c>
      <c r="L5" s="21" t="s">
        <v>287</v>
      </c>
    </row>
    <row r="6" spans="1:15" x14ac:dyDescent="0.25">
      <c r="A6" s="4" t="s">
        <v>7</v>
      </c>
      <c r="B6" s="4" t="s">
        <v>48</v>
      </c>
      <c r="C6" s="4">
        <v>2023</v>
      </c>
      <c r="D6" s="5">
        <v>39029581</v>
      </c>
      <c r="E6" s="4"/>
      <c r="F6" s="9">
        <v>3.6</v>
      </c>
      <c r="K6" s="21" t="s">
        <v>285</v>
      </c>
      <c r="L6">
        <v>2023</v>
      </c>
      <c r="M6">
        <v>2024</v>
      </c>
      <c r="N6">
        <v>2025</v>
      </c>
    </row>
    <row r="7" spans="1:15" x14ac:dyDescent="0.25">
      <c r="A7" s="2" t="s">
        <v>7</v>
      </c>
      <c r="B7" s="2" t="s">
        <v>53</v>
      </c>
      <c r="C7" s="2">
        <v>2023</v>
      </c>
      <c r="D7" s="3">
        <v>35759506</v>
      </c>
      <c r="E7" s="2"/>
      <c r="F7" s="8">
        <v>3.3</v>
      </c>
      <c r="K7" s="22" t="s">
        <v>45</v>
      </c>
      <c r="L7" s="23">
        <v>685508260</v>
      </c>
      <c r="M7" s="23">
        <v>768481622</v>
      </c>
      <c r="N7" s="23">
        <v>596166414</v>
      </c>
      <c r="O7" s="25">
        <f>N7/M7-1</f>
        <v>-0.22422814426133408</v>
      </c>
    </row>
    <row r="8" spans="1:15" x14ac:dyDescent="0.25">
      <c r="A8" s="4" t="s">
        <v>7</v>
      </c>
      <c r="B8" s="4" t="s">
        <v>55</v>
      </c>
      <c r="C8" s="4">
        <v>2023</v>
      </c>
      <c r="D8" s="5">
        <v>33234848</v>
      </c>
      <c r="E8" s="4"/>
      <c r="F8" s="9">
        <v>3.1</v>
      </c>
      <c r="K8" s="22" t="s">
        <v>46</v>
      </c>
      <c r="L8" s="23">
        <v>129542144</v>
      </c>
      <c r="M8" s="23">
        <v>142966390</v>
      </c>
      <c r="N8" s="23">
        <v>97705161</v>
      </c>
      <c r="O8" s="25">
        <f t="shared" ref="O8:O29" si="0">N8/M8-1</f>
        <v>-0.3165864998060034</v>
      </c>
    </row>
    <row r="9" spans="1:15" x14ac:dyDescent="0.25">
      <c r="A9" s="2" t="s">
        <v>7</v>
      </c>
      <c r="B9" s="2" t="s">
        <v>56</v>
      </c>
      <c r="C9" s="2">
        <v>2023</v>
      </c>
      <c r="D9" s="3">
        <v>25706415</v>
      </c>
      <c r="E9" s="2"/>
      <c r="F9" s="8">
        <v>2.4</v>
      </c>
      <c r="K9" s="22" t="s">
        <v>49</v>
      </c>
      <c r="L9" s="23">
        <v>64883261</v>
      </c>
      <c r="M9" s="23">
        <v>70108080</v>
      </c>
      <c r="N9" s="23">
        <v>58350765</v>
      </c>
      <c r="O9" s="25">
        <f t="shared" si="0"/>
        <v>-0.16770270987309877</v>
      </c>
    </row>
    <row r="10" spans="1:15" x14ac:dyDescent="0.25">
      <c r="A10" s="4" t="s">
        <v>7</v>
      </c>
      <c r="B10" s="4" t="s">
        <v>54</v>
      </c>
      <c r="C10" s="4">
        <v>2023</v>
      </c>
      <c r="D10" s="5">
        <v>23953864</v>
      </c>
      <c r="E10" s="4"/>
      <c r="F10" s="9">
        <v>2.2000000000000002</v>
      </c>
      <c r="K10" s="22" t="s">
        <v>53</v>
      </c>
      <c r="L10" s="23">
        <v>35759506</v>
      </c>
      <c r="M10" s="23">
        <v>37456575</v>
      </c>
      <c r="N10" s="23">
        <v>47774550</v>
      </c>
      <c r="O10" s="25">
        <f t="shared" si="0"/>
        <v>0.2754649884566327</v>
      </c>
    </row>
    <row r="11" spans="1:15" x14ac:dyDescent="0.25">
      <c r="A11" s="2" t="s">
        <v>7</v>
      </c>
      <c r="B11" s="2" t="s">
        <v>57</v>
      </c>
      <c r="C11" s="2">
        <v>2023</v>
      </c>
      <c r="D11" s="3">
        <v>21914075</v>
      </c>
      <c r="E11" s="2"/>
      <c r="F11" s="8">
        <v>2</v>
      </c>
      <c r="K11" s="22" t="s">
        <v>48</v>
      </c>
      <c r="L11" s="23">
        <v>39029581</v>
      </c>
      <c r="M11" s="23">
        <v>57263530</v>
      </c>
      <c r="N11" s="23">
        <v>44837741</v>
      </c>
      <c r="O11" s="25">
        <f t="shared" si="0"/>
        <v>-0.21699306696600784</v>
      </c>
    </row>
    <row r="12" spans="1:15" x14ac:dyDescent="0.25">
      <c r="A12" s="4" t="s">
        <v>7</v>
      </c>
      <c r="B12" s="4" t="s">
        <v>59</v>
      </c>
      <c r="C12" s="4">
        <v>2023</v>
      </c>
      <c r="D12" s="5">
        <v>14252228</v>
      </c>
      <c r="E12" s="4"/>
      <c r="F12" s="9">
        <v>1.3</v>
      </c>
      <c r="K12" s="22" t="s">
        <v>57</v>
      </c>
      <c r="L12" s="23">
        <v>21914075</v>
      </c>
      <c r="M12" s="23">
        <v>19878147</v>
      </c>
      <c r="N12" s="23">
        <v>36530906</v>
      </c>
      <c r="O12" s="25">
        <f t="shared" si="0"/>
        <v>0.83774201891152122</v>
      </c>
    </row>
    <row r="13" spans="1:15" x14ac:dyDescent="0.25">
      <c r="A13" s="2" t="s">
        <v>7</v>
      </c>
      <c r="B13" s="2" t="s">
        <v>45</v>
      </c>
      <c r="C13" s="2">
        <v>2024</v>
      </c>
      <c r="D13" s="3">
        <v>768481622</v>
      </c>
      <c r="E13" s="6">
        <v>12.1</v>
      </c>
      <c r="F13" s="8">
        <v>64.3</v>
      </c>
      <c r="K13" s="22" t="s">
        <v>54</v>
      </c>
      <c r="L13" s="23">
        <v>23953864</v>
      </c>
      <c r="M13" s="23">
        <v>24969591</v>
      </c>
      <c r="N13" s="23">
        <v>35467000</v>
      </c>
      <c r="O13" s="25">
        <f t="shared" si="0"/>
        <v>0.42040772714298758</v>
      </c>
    </row>
    <row r="14" spans="1:15" x14ac:dyDescent="0.25">
      <c r="A14" s="4" t="s">
        <v>7</v>
      </c>
      <c r="B14" s="4" t="s">
        <v>46</v>
      </c>
      <c r="C14" s="4">
        <v>2024</v>
      </c>
      <c r="D14" s="5">
        <v>142966390</v>
      </c>
      <c r="E14" s="6">
        <v>10.4</v>
      </c>
      <c r="F14" s="9">
        <v>12</v>
      </c>
      <c r="K14" s="22" t="s">
        <v>59</v>
      </c>
      <c r="L14" s="23">
        <v>14252228</v>
      </c>
      <c r="M14" s="23">
        <v>14131683</v>
      </c>
      <c r="N14" s="23">
        <v>30308968</v>
      </c>
      <c r="O14" s="25">
        <f t="shared" si="0"/>
        <v>1.1447528931975053</v>
      </c>
    </row>
    <row r="15" spans="1:15" x14ac:dyDescent="0.25">
      <c r="A15" s="2" t="s">
        <v>7</v>
      </c>
      <c r="B15" s="2" t="s">
        <v>49</v>
      </c>
      <c r="C15" s="2">
        <v>2024</v>
      </c>
      <c r="D15" s="3">
        <v>70108080</v>
      </c>
      <c r="E15" s="6">
        <v>8.1</v>
      </c>
      <c r="F15" s="8">
        <v>5.9</v>
      </c>
      <c r="K15" s="22" t="s">
        <v>56</v>
      </c>
      <c r="L15" s="23">
        <v>25706415</v>
      </c>
      <c r="M15" s="23">
        <v>27037675</v>
      </c>
      <c r="N15" s="23">
        <v>29890923</v>
      </c>
      <c r="O15" s="25">
        <f t="shared" si="0"/>
        <v>0.10552860036966938</v>
      </c>
    </row>
    <row r="16" spans="1:15" x14ac:dyDescent="0.25">
      <c r="A16" s="4" t="s">
        <v>7</v>
      </c>
      <c r="B16" s="4" t="s">
        <v>48</v>
      </c>
      <c r="C16" s="4">
        <v>2024</v>
      </c>
      <c r="D16" s="5">
        <v>57263530</v>
      </c>
      <c r="E16" s="6">
        <v>46.7</v>
      </c>
      <c r="F16" s="9">
        <v>4.8</v>
      </c>
      <c r="K16" s="22" t="s">
        <v>55</v>
      </c>
      <c r="L16" s="23">
        <v>33234848</v>
      </c>
      <c r="M16" s="23">
        <v>33177554</v>
      </c>
      <c r="N16" s="23">
        <v>29592603</v>
      </c>
      <c r="O16" s="25">
        <f t="shared" si="0"/>
        <v>-0.10805350508961575</v>
      </c>
    </row>
    <row r="17" spans="1:15" x14ac:dyDescent="0.25">
      <c r="A17" s="2" t="s">
        <v>7</v>
      </c>
      <c r="B17" s="2" t="s">
        <v>53</v>
      </c>
      <c r="C17" s="2">
        <v>2024</v>
      </c>
      <c r="D17" s="3">
        <v>37456575</v>
      </c>
      <c r="E17" s="6">
        <v>4.7</v>
      </c>
      <c r="F17" s="8">
        <v>3.1</v>
      </c>
      <c r="K17" s="22" t="s">
        <v>286</v>
      </c>
      <c r="L17" s="23">
        <v>1073784182</v>
      </c>
      <c r="M17" s="23">
        <v>1195470847</v>
      </c>
      <c r="N17" s="23">
        <v>1006625031</v>
      </c>
      <c r="O17" s="25">
        <f t="shared" si="0"/>
        <v>-0.15796773001525144</v>
      </c>
    </row>
    <row r="18" spans="1:15" x14ac:dyDescent="0.25">
      <c r="A18" s="4" t="s">
        <v>7</v>
      </c>
      <c r="B18" s="4" t="s">
        <v>55</v>
      </c>
      <c r="C18" s="4">
        <v>2024</v>
      </c>
      <c r="D18" s="5">
        <v>33177554</v>
      </c>
      <c r="E18" s="7">
        <v>-0.2</v>
      </c>
      <c r="F18" s="9">
        <v>2.8</v>
      </c>
      <c r="O18" s="25" t="e">
        <f t="shared" si="0"/>
        <v>#DIV/0!</v>
      </c>
    </row>
    <row r="19" spans="1:15" x14ac:dyDescent="0.25">
      <c r="A19" s="2" t="s">
        <v>7</v>
      </c>
      <c r="B19" s="2" t="s">
        <v>56</v>
      </c>
      <c r="C19" s="2">
        <v>2024</v>
      </c>
      <c r="D19" s="3">
        <v>27037675</v>
      </c>
      <c r="E19" s="6">
        <v>5.2</v>
      </c>
      <c r="F19" s="8">
        <v>2.2999999999999998</v>
      </c>
      <c r="O19" s="25" t="e">
        <f t="shared" si="0"/>
        <v>#DIV/0!</v>
      </c>
    </row>
    <row r="20" spans="1:15" x14ac:dyDescent="0.25">
      <c r="A20" s="4" t="s">
        <v>7</v>
      </c>
      <c r="B20" s="4" t="s">
        <v>54</v>
      </c>
      <c r="C20" s="4">
        <v>2024</v>
      </c>
      <c r="D20" s="5">
        <v>24969591</v>
      </c>
      <c r="E20" s="6">
        <v>4.2</v>
      </c>
      <c r="F20" s="9">
        <v>2.1</v>
      </c>
      <c r="O20" s="25" t="e">
        <f t="shared" si="0"/>
        <v>#DIV/0!</v>
      </c>
    </row>
    <row r="21" spans="1:15" x14ac:dyDescent="0.25">
      <c r="A21" s="2" t="s">
        <v>7</v>
      </c>
      <c r="B21" s="2" t="s">
        <v>57</v>
      </c>
      <c r="C21" s="2">
        <v>2024</v>
      </c>
      <c r="D21" s="3">
        <v>19878147</v>
      </c>
      <c r="E21" s="7">
        <v>-9.3000000000000007</v>
      </c>
      <c r="F21" s="8">
        <v>1.7</v>
      </c>
      <c r="O21" s="25" t="e">
        <f t="shared" si="0"/>
        <v>#DIV/0!</v>
      </c>
    </row>
    <row r="22" spans="1:15" x14ac:dyDescent="0.25">
      <c r="A22" s="4" t="s">
        <v>7</v>
      </c>
      <c r="B22" s="4" t="s">
        <v>59</v>
      </c>
      <c r="C22" s="4">
        <v>2024</v>
      </c>
      <c r="D22" s="5">
        <v>14131683</v>
      </c>
      <c r="E22" s="7">
        <v>-0.8</v>
      </c>
      <c r="F22" s="9">
        <v>1.2</v>
      </c>
      <c r="O22" s="25" t="e">
        <f t="shared" si="0"/>
        <v>#DIV/0!</v>
      </c>
    </row>
    <row r="23" spans="1:15" x14ac:dyDescent="0.25">
      <c r="A23" s="2" t="s">
        <v>7</v>
      </c>
      <c r="B23" s="2" t="s">
        <v>45</v>
      </c>
      <c r="C23" s="2">
        <v>2025</v>
      </c>
      <c r="D23" s="3">
        <v>596166414</v>
      </c>
      <c r="E23" s="7">
        <v>-22.4</v>
      </c>
      <c r="F23" s="8">
        <v>59.2</v>
      </c>
      <c r="O23" s="25" t="e">
        <f t="shared" si="0"/>
        <v>#DIV/0!</v>
      </c>
    </row>
    <row r="24" spans="1:15" x14ac:dyDescent="0.25">
      <c r="A24" s="4" t="s">
        <v>7</v>
      </c>
      <c r="B24" s="4" t="s">
        <v>46</v>
      </c>
      <c r="C24" s="4">
        <v>2025</v>
      </c>
      <c r="D24" s="5">
        <v>97705161</v>
      </c>
      <c r="E24" s="7">
        <v>-31.7</v>
      </c>
      <c r="F24" s="9">
        <v>9.6999999999999993</v>
      </c>
      <c r="O24" s="25" t="e">
        <f t="shared" si="0"/>
        <v>#DIV/0!</v>
      </c>
    </row>
    <row r="25" spans="1:15" x14ac:dyDescent="0.25">
      <c r="A25" s="2" t="s">
        <v>7</v>
      </c>
      <c r="B25" s="2" t="s">
        <v>49</v>
      </c>
      <c r="C25" s="2">
        <v>2025</v>
      </c>
      <c r="D25" s="3">
        <v>58350765</v>
      </c>
      <c r="E25" s="7">
        <v>-16.8</v>
      </c>
      <c r="F25" s="8">
        <v>5.8</v>
      </c>
      <c r="O25" s="25" t="e">
        <f t="shared" si="0"/>
        <v>#DIV/0!</v>
      </c>
    </row>
    <row r="26" spans="1:15" x14ac:dyDescent="0.25">
      <c r="A26" s="4" t="s">
        <v>7</v>
      </c>
      <c r="B26" s="4" t="s">
        <v>53</v>
      </c>
      <c r="C26" s="4">
        <v>2025</v>
      </c>
      <c r="D26" s="5">
        <v>47774550</v>
      </c>
      <c r="E26" s="6">
        <v>27.5</v>
      </c>
      <c r="F26" s="9">
        <v>4.7</v>
      </c>
      <c r="O26" s="25" t="e">
        <f t="shared" si="0"/>
        <v>#DIV/0!</v>
      </c>
    </row>
    <row r="27" spans="1:15" x14ac:dyDescent="0.25">
      <c r="A27" s="2" t="s">
        <v>7</v>
      </c>
      <c r="B27" s="2" t="s">
        <v>48</v>
      </c>
      <c r="C27" s="2">
        <v>2025</v>
      </c>
      <c r="D27" s="3">
        <v>44837741</v>
      </c>
      <c r="E27" s="7">
        <v>-21.7</v>
      </c>
      <c r="F27" s="8">
        <v>4.5</v>
      </c>
      <c r="O27" s="25" t="e">
        <f t="shared" si="0"/>
        <v>#DIV/0!</v>
      </c>
    </row>
    <row r="28" spans="1:15" x14ac:dyDescent="0.25">
      <c r="A28" s="4" t="s">
        <v>7</v>
      </c>
      <c r="B28" s="4" t="s">
        <v>57</v>
      </c>
      <c r="C28" s="4">
        <v>2025</v>
      </c>
      <c r="D28" s="5">
        <v>36530906</v>
      </c>
      <c r="E28" s="6">
        <v>83.8</v>
      </c>
      <c r="F28" s="9">
        <v>3.6</v>
      </c>
      <c r="O28" s="25" t="e">
        <f t="shared" si="0"/>
        <v>#DIV/0!</v>
      </c>
    </row>
    <row r="29" spans="1:15" x14ac:dyDescent="0.25">
      <c r="A29" s="2" t="s">
        <v>7</v>
      </c>
      <c r="B29" s="2" t="s">
        <v>54</v>
      </c>
      <c r="C29" s="2">
        <v>2025</v>
      </c>
      <c r="D29" s="3">
        <v>35467000</v>
      </c>
      <c r="E29" s="6">
        <v>42</v>
      </c>
      <c r="F29" s="8">
        <v>3.5</v>
      </c>
      <c r="O29" s="25" t="e">
        <f t="shared" si="0"/>
        <v>#DIV/0!</v>
      </c>
    </row>
    <row r="30" spans="1:15" x14ac:dyDescent="0.25">
      <c r="A30" s="4" t="s">
        <v>7</v>
      </c>
      <c r="B30" s="4" t="s">
        <v>59</v>
      </c>
      <c r="C30" s="4">
        <v>2025</v>
      </c>
      <c r="D30" s="5">
        <v>30308968</v>
      </c>
      <c r="E30" s="6">
        <v>114.5</v>
      </c>
      <c r="F30" s="9">
        <v>3</v>
      </c>
    </row>
    <row r="31" spans="1:15" x14ac:dyDescent="0.25">
      <c r="A31" s="2" t="s">
        <v>7</v>
      </c>
      <c r="B31" s="2" t="s">
        <v>56</v>
      </c>
      <c r="C31" s="2">
        <v>2025</v>
      </c>
      <c r="D31" s="3">
        <v>29890923</v>
      </c>
      <c r="E31" s="6">
        <v>10.6</v>
      </c>
      <c r="F31" s="8">
        <v>3</v>
      </c>
    </row>
    <row r="32" spans="1:15" x14ac:dyDescent="0.25">
      <c r="A32" s="4" t="s">
        <v>7</v>
      </c>
      <c r="B32" s="4" t="s">
        <v>55</v>
      </c>
      <c r="C32" s="4">
        <v>2025</v>
      </c>
      <c r="D32" s="5">
        <v>29592603</v>
      </c>
      <c r="E32" s="7">
        <v>-10.8</v>
      </c>
      <c r="F32" s="9">
        <v>2.9</v>
      </c>
    </row>
    <row r="33" spans="1:6" x14ac:dyDescent="0.25">
      <c r="A33" s="2" t="s">
        <v>8</v>
      </c>
      <c r="B33" s="2" t="s">
        <v>47</v>
      </c>
      <c r="C33" s="2">
        <v>2023</v>
      </c>
      <c r="D33" s="3">
        <v>84071038</v>
      </c>
      <c r="E33" s="2"/>
      <c r="F33" s="8">
        <v>28.9</v>
      </c>
    </row>
    <row r="34" spans="1:6" x14ac:dyDescent="0.25">
      <c r="A34" s="4" t="s">
        <v>8</v>
      </c>
      <c r="B34" s="4" t="s">
        <v>45</v>
      </c>
      <c r="C34" s="4">
        <v>2023</v>
      </c>
      <c r="D34" s="5">
        <v>36168053</v>
      </c>
      <c r="E34" s="4"/>
      <c r="F34" s="9">
        <v>12.5</v>
      </c>
    </row>
    <row r="35" spans="1:6" x14ac:dyDescent="0.25">
      <c r="A35" s="2" t="s">
        <v>8</v>
      </c>
      <c r="B35" s="2" t="s">
        <v>50</v>
      </c>
      <c r="C35" s="2">
        <v>2023</v>
      </c>
      <c r="D35" s="3">
        <v>34963699</v>
      </c>
      <c r="E35" s="2"/>
      <c r="F35" s="8">
        <v>12</v>
      </c>
    </row>
    <row r="36" spans="1:6" x14ac:dyDescent="0.25">
      <c r="A36" s="4" t="s">
        <v>8</v>
      </c>
      <c r="B36" s="4" t="s">
        <v>52</v>
      </c>
      <c r="C36" s="4">
        <v>2023</v>
      </c>
      <c r="D36" s="5">
        <v>28442464</v>
      </c>
      <c r="E36" s="4"/>
      <c r="F36" s="9">
        <v>9.8000000000000007</v>
      </c>
    </row>
    <row r="37" spans="1:6" x14ac:dyDescent="0.25">
      <c r="A37" s="2" t="s">
        <v>8</v>
      </c>
      <c r="B37" s="2" t="s">
        <v>46</v>
      </c>
      <c r="C37" s="2">
        <v>2023</v>
      </c>
      <c r="D37" s="3">
        <v>23660633</v>
      </c>
      <c r="E37" s="2"/>
      <c r="F37" s="8">
        <v>8.1</v>
      </c>
    </row>
    <row r="38" spans="1:6" x14ac:dyDescent="0.25">
      <c r="A38" s="4" t="s">
        <v>8</v>
      </c>
      <c r="B38" s="4" t="s">
        <v>51</v>
      </c>
      <c r="C38" s="4">
        <v>2023</v>
      </c>
      <c r="D38" s="5">
        <v>21618970</v>
      </c>
      <c r="E38" s="4"/>
      <c r="F38" s="9">
        <v>7.4</v>
      </c>
    </row>
    <row r="39" spans="1:6" x14ac:dyDescent="0.25">
      <c r="A39" s="2" t="s">
        <v>8</v>
      </c>
      <c r="B39" s="2" t="s">
        <v>80</v>
      </c>
      <c r="C39" s="2">
        <v>2023</v>
      </c>
      <c r="D39" s="3">
        <v>19813320</v>
      </c>
      <c r="E39" s="2"/>
      <c r="F39" s="8">
        <v>6.8</v>
      </c>
    </row>
    <row r="40" spans="1:6" x14ac:dyDescent="0.25">
      <c r="A40" s="4" t="s">
        <v>8</v>
      </c>
      <c r="B40" s="4" t="s">
        <v>81</v>
      </c>
      <c r="C40" s="4">
        <v>2023</v>
      </c>
      <c r="D40" s="5">
        <v>17799123</v>
      </c>
      <c r="E40" s="4"/>
      <c r="F40" s="9">
        <v>6.1</v>
      </c>
    </row>
    <row r="41" spans="1:6" x14ac:dyDescent="0.25">
      <c r="A41" s="2" t="s">
        <v>8</v>
      </c>
      <c r="B41" s="2" t="s">
        <v>82</v>
      </c>
      <c r="C41" s="2">
        <v>2023</v>
      </c>
      <c r="D41" s="3">
        <v>17291710</v>
      </c>
      <c r="E41" s="2"/>
      <c r="F41" s="8">
        <v>6</v>
      </c>
    </row>
    <row r="42" spans="1:6" x14ac:dyDescent="0.25">
      <c r="A42" s="4" t="s">
        <v>8</v>
      </c>
      <c r="B42" s="4" t="s">
        <v>48</v>
      </c>
      <c r="C42" s="4">
        <v>2023</v>
      </c>
      <c r="D42" s="5">
        <v>6583918</v>
      </c>
      <c r="E42" s="4"/>
      <c r="F42" s="9">
        <v>2.2999999999999998</v>
      </c>
    </row>
    <row r="43" spans="1:6" x14ac:dyDescent="0.25">
      <c r="A43" s="2" t="s">
        <v>8</v>
      </c>
      <c r="B43" s="2" t="s">
        <v>47</v>
      </c>
      <c r="C43" s="2">
        <v>2024</v>
      </c>
      <c r="D43" s="3">
        <v>86092676</v>
      </c>
      <c r="E43" s="6">
        <v>2.4</v>
      </c>
      <c r="F43" s="8">
        <v>34.1</v>
      </c>
    </row>
    <row r="44" spans="1:6" x14ac:dyDescent="0.25">
      <c r="A44" s="4" t="s">
        <v>8</v>
      </c>
      <c r="B44" s="4" t="s">
        <v>52</v>
      </c>
      <c r="C44" s="4">
        <v>2024</v>
      </c>
      <c r="D44" s="5">
        <v>34629834</v>
      </c>
      <c r="E44" s="6">
        <v>21.8</v>
      </c>
      <c r="F44" s="9">
        <v>13.7</v>
      </c>
    </row>
    <row r="45" spans="1:6" x14ac:dyDescent="0.25">
      <c r="A45" s="2" t="s">
        <v>8</v>
      </c>
      <c r="B45" s="2" t="s">
        <v>46</v>
      </c>
      <c r="C45" s="2">
        <v>2024</v>
      </c>
      <c r="D45" s="3">
        <v>27885706</v>
      </c>
      <c r="E45" s="6">
        <v>17.899999999999999</v>
      </c>
      <c r="F45" s="8">
        <v>11</v>
      </c>
    </row>
    <row r="46" spans="1:6" x14ac:dyDescent="0.25">
      <c r="A46" s="4" t="s">
        <v>8</v>
      </c>
      <c r="B46" s="4" t="s">
        <v>45</v>
      </c>
      <c r="C46" s="4">
        <v>2024</v>
      </c>
      <c r="D46" s="5">
        <v>25186395</v>
      </c>
      <c r="E46" s="7">
        <v>-30.4</v>
      </c>
      <c r="F46" s="9">
        <v>10</v>
      </c>
    </row>
    <row r="47" spans="1:6" x14ac:dyDescent="0.25">
      <c r="A47" s="2" t="s">
        <v>8</v>
      </c>
      <c r="B47" s="2" t="s">
        <v>51</v>
      </c>
      <c r="C47" s="2">
        <v>2024</v>
      </c>
      <c r="D47" s="3">
        <v>22804860</v>
      </c>
      <c r="E47" s="6">
        <v>5.5</v>
      </c>
      <c r="F47" s="8">
        <v>9</v>
      </c>
    </row>
    <row r="48" spans="1:6" x14ac:dyDescent="0.25">
      <c r="A48" s="4" t="s">
        <v>8</v>
      </c>
      <c r="B48" s="4" t="s">
        <v>50</v>
      </c>
      <c r="C48" s="4">
        <v>2024</v>
      </c>
      <c r="D48" s="5">
        <v>20601490</v>
      </c>
      <c r="E48" s="7">
        <v>-41.1</v>
      </c>
      <c r="F48" s="9">
        <v>8.1999999999999993</v>
      </c>
    </row>
    <row r="49" spans="1:6" x14ac:dyDescent="0.25">
      <c r="A49" s="2" t="s">
        <v>8</v>
      </c>
      <c r="B49" s="2" t="s">
        <v>81</v>
      </c>
      <c r="C49" s="2">
        <v>2024</v>
      </c>
      <c r="D49" s="3">
        <v>13847976</v>
      </c>
      <c r="E49" s="7">
        <v>-22.2</v>
      </c>
      <c r="F49" s="8">
        <v>5.5</v>
      </c>
    </row>
    <row r="50" spans="1:6" x14ac:dyDescent="0.25">
      <c r="A50" s="4" t="s">
        <v>8</v>
      </c>
      <c r="B50" s="4" t="s">
        <v>82</v>
      </c>
      <c r="C50" s="4">
        <v>2024</v>
      </c>
      <c r="D50" s="5">
        <v>8561898</v>
      </c>
      <c r="E50" s="7">
        <v>-50.5</v>
      </c>
      <c r="F50" s="9">
        <v>3.4</v>
      </c>
    </row>
    <row r="51" spans="1:6" x14ac:dyDescent="0.25">
      <c r="A51" s="2" t="s">
        <v>8</v>
      </c>
      <c r="B51" s="2" t="s">
        <v>48</v>
      </c>
      <c r="C51" s="2">
        <v>2024</v>
      </c>
      <c r="D51" s="3">
        <v>7761246</v>
      </c>
      <c r="E51" s="6">
        <v>17.899999999999999</v>
      </c>
      <c r="F51" s="8">
        <v>3.1</v>
      </c>
    </row>
    <row r="52" spans="1:6" x14ac:dyDescent="0.25">
      <c r="A52" s="4" t="s">
        <v>8</v>
      </c>
      <c r="B52" s="4" t="s">
        <v>80</v>
      </c>
      <c r="C52" s="4">
        <v>2024</v>
      </c>
      <c r="D52" s="5">
        <v>5309468</v>
      </c>
      <c r="E52" s="7">
        <v>-73.2</v>
      </c>
      <c r="F52" s="9">
        <v>2.1</v>
      </c>
    </row>
    <row r="53" spans="1:6" x14ac:dyDescent="0.25">
      <c r="A53" s="2" t="s">
        <v>8</v>
      </c>
      <c r="B53" s="2" t="s">
        <v>47</v>
      </c>
      <c r="C53" s="2">
        <v>2025</v>
      </c>
      <c r="D53" s="3">
        <v>101518662</v>
      </c>
      <c r="E53" s="6">
        <v>17.899999999999999</v>
      </c>
      <c r="F53" s="8">
        <v>34.1</v>
      </c>
    </row>
    <row r="54" spans="1:6" x14ac:dyDescent="0.25">
      <c r="A54" s="4" t="s">
        <v>8</v>
      </c>
      <c r="B54" s="4" t="s">
        <v>52</v>
      </c>
      <c r="C54" s="4">
        <v>2025</v>
      </c>
      <c r="D54" s="5">
        <v>37865529</v>
      </c>
      <c r="E54" s="6">
        <v>9.3000000000000007</v>
      </c>
      <c r="F54" s="9">
        <v>12.7</v>
      </c>
    </row>
    <row r="55" spans="1:6" x14ac:dyDescent="0.25">
      <c r="A55" s="2" t="s">
        <v>8</v>
      </c>
      <c r="B55" s="2" t="s">
        <v>50</v>
      </c>
      <c r="C55" s="2">
        <v>2025</v>
      </c>
      <c r="D55" s="3">
        <v>29202628</v>
      </c>
      <c r="E55" s="6">
        <v>41.8</v>
      </c>
      <c r="F55" s="8">
        <v>9.8000000000000007</v>
      </c>
    </row>
    <row r="56" spans="1:6" x14ac:dyDescent="0.25">
      <c r="A56" s="4" t="s">
        <v>8</v>
      </c>
      <c r="B56" s="4" t="s">
        <v>46</v>
      </c>
      <c r="C56" s="4">
        <v>2025</v>
      </c>
      <c r="D56" s="5">
        <v>23686033</v>
      </c>
      <c r="E56" s="7">
        <v>-15.1</v>
      </c>
      <c r="F56" s="9">
        <v>8</v>
      </c>
    </row>
    <row r="57" spans="1:6" x14ac:dyDescent="0.25">
      <c r="A57" s="2" t="s">
        <v>8</v>
      </c>
      <c r="B57" s="2" t="s">
        <v>51</v>
      </c>
      <c r="C57" s="2">
        <v>2025</v>
      </c>
      <c r="D57" s="3">
        <v>23164116</v>
      </c>
      <c r="E57" s="6">
        <v>1.6</v>
      </c>
      <c r="F57" s="8">
        <v>7.8</v>
      </c>
    </row>
    <row r="58" spans="1:6" x14ac:dyDescent="0.25">
      <c r="A58" s="4" t="s">
        <v>8</v>
      </c>
      <c r="B58" s="4" t="s">
        <v>45</v>
      </c>
      <c r="C58" s="4">
        <v>2025</v>
      </c>
      <c r="D58" s="5">
        <v>23149768</v>
      </c>
      <c r="E58" s="7">
        <v>-8.1</v>
      </c>
      <c r="F58" s="9">
        <v>7.8</v>
      </c>
    </row>
    <row r="59" spans="1:6" x14ac:dyDescent="0.25">
      <c r="A59" s="2" t="s">
        <v>8</v>
      </c>
      <c r="B59" s="2" t="s">
        <v>80</v>
      </c>
      <c r="C59" s="2">
        <v>2025</v>
      </c>
      <c r="D59" s="3">
        <v>19072749</v>
      </c>
      <c r="E59" s="6">
        <v>259.2</v>
      </c>
      <c r="F59" s="8">
        <v>6.4</v>
      </c>
    </row>
    <row r="60" spans="1:6" x14ac:dyDescent="0.25">
      <c r="A60" s="4" t="s">
        <v>8</v>
      </c>
      <c r="B60" s="4" t="s">
        <v>81</v>
      </c>
      <c r="C60" s="4">
        <v>2025</v>
      </c>
      <c r="D60" s="5">
        <v>16258564</v>
      </c>
      <c r="E60" s="6">
        <v>17.399999999999999</v>
      </c>
      <c r="F60" s="9">
        <v>5.5</v>
      </c>
    </row>
    <row r="61" spans="1:6" x14ac:dyDescent="0.25">
      <c r="A61" s="2" t="s">
        <v>8</v>
      </c>
      <c r="B61" s="2" t="s">
        <v>82</v>
      </c>
      <c r="C61" s="2">
        <v>2025</v>
      </c>
      <c r="D61" s="3">
        <v>15047674</v>
      </c>
      <c r="E61" s="6">
        <v>75.8</v>
      </c>
      <c r="F61" s="8">
        <v>5.0999999999999996</v>
      </c>
    </row>
    <row r="62" spans="1:6" x14ac:dyDescent="0.25">
      <c r="A62" s="4" t="s">
        <v>8</v>
      </c>
      <c r="B62" s="4" t="s">
        <v>48</v>
      </c>
      <c r="C62" s="4">
        <v>2025</v>
      </c>
      <c r="D62" s="5">
        <v>8647715</v>
      </c>
      <c r="E62" s="6">
        <v>11.4</v>
      </c>
      <c r="F62" s="9">
        <v>2.9</v>
      </c>
    </row>
    <row r="63" spans="1:6" x14ac:dyDescent="0.25">
      <c r="A63" s="2" t="s">
        <v>9</v>
      </c>
      <c r="B63" s="2" t="s">
        <v>48</v>
      </c>
      <c r="C63" s="2">
        <v>2023</v>
      </c>
      <c r="D63" s="3">
        <v>23607252</v>
      </c>
      <c r="E63" s="2"/>
      <c r="F63" s="8">
        <v>57.7</v>
      </c>
    </row>
    <row r="64" spans="1:6" x14ac:dyDescent="0.25">
      <c r="A64" s="4" t="s">
        <v>9</v>
      </c>
      <c r="B64" s="4" t="s">
        <v>58</v>
      </c>
      <c r="C64" s="4">
        <v>2023</v>
      </c>
      <c r="D64" s="5">
        <v>14250186</v>
      </c>
      <c r="E64" s="4"/>
      <c r="F64" s="9">
        <v>34.9</v>
      </c>
    </row>
    <row r="65" spans="1:6" x14ac:dyDescent="0.25">
      <c r="A65" s="2" t="s">
        <v>9</v>
      </c>
      <c r="B65" s="2" t="s">
        <v>45</v>
      </c>
      <c r="C65" s="2">
        <v>2023</v>
      </c>
      <c r="D65" s="3">
        <v>1604610</v>
      </c>
      <c r="E65" s="2"/>
      <c r="F65" s="8">
        <v>3.9</v>
      </c>
    </row>
    <row r="66" spans="1:6" x14ac:dyDescent="0.25">
      <c r="A66" s="4" t="s">
        <v>9</v>
      </c>
      <c r="B66" s="4" t="s">
        <v>56</v>
      </c>
      <c r="C66" s="4">
        <v>2023</v>
      </c>
      <c r="D66" s="5">
        <v>963355</v>
      </c>
      <c r="E66" s="4"/>
      <c r="F66" s="9">
        <v>2.4</v>
      </c>
    </row>
    <row r="67" spans="1:6" x14ac:dyDescent="0.25">
      <c r="A67" s="2" t="s">
        <v>9</v>
      </c>
      <c r="B67" s="2" t="s">
        <v>83</v>
      </c>
      <c r="C67" s="2">
        <v>2023</v>
      </c>
      <c r="D67" s="3">
        <v>248270</v>
      </c>
      <c r="E67" s="2"/>
      <c r="F67" s="8">
        <v>0.6</v>
      </c>
    </row>
    <row r="68" spans="1:6" x14ac:dyDescent="0.25">
      <c r="A68" s="4" t="s">
        <v>9</v>
      </c>
      <c r="B68" s="4" t="s">
        <v>84</v>
      </c>
      <c r="C68" s="4">
        <v>2023</v>
      </c>
      <c r="D68" s="5">
        <v>119688</v>
      </c>
      <c r="E68" s="4"/>
      <c r="F68" s="9">
        <v>0.3</v>
      </c>
    </row>
    <row r="69" spans="1:6" x14ac:dyDescent="0.25">
      <c r="A69" s="2" t="s">
        <v>9</v>
      </c>
      <c r="B69" s="2" t="s">
        <v>50</v>
      </c>
      <c r="C69" s="2">
        <v>2023</v>
      </c>
      <c r="D69" s="3">
        <v>53656</v>
      </c>
      <c r="E69" s="2"/>
      <c r="F69" s="8">
        <v>0.1</v>
      </c>
    </row>
    <row r="70" spans="1:6" x14ac:dyDescent="0.25">
      <c r="A70" s="4" t="s">
        <v>9</v>
      </c>
      <c r="B70" s="4" t="s">
        <v>85</v>
      </c>
      <c r="C70" s="4">
        <v>2023</v>
      </c>
      <c r="D70" s="5">
        <v>36863</v>
      </c>
      <c r="E70" s="4"/>
      <c r="F70" s="9">
        <v>0.1</v>
      </c>
    </row>
    <row r="71" spans="1:6" x14ac:dyDescent="0.25">
      <c r="A71" s="2" t="s">
        <v>9</v>
      </c>
      <c r="B71" s="2" t="s">
        <v>48</v>
      </c>
      <c r="C71" s="2">
        <v>2024</v>
      </c>
      <c r="D71" s="3">
        <v>25526429</v>
      </c>
      <c r="E71" s="6">
        <v>8.1</v>
      </c>
      <c r="F71" s="8">
        <v>51.4</v>
      </c>
    </row>
    <row r="72" spans="1:6" x14ac:dyDescent="0.25">
      <c r="A72" s="4" t="s">
        <v>9</v>
      </c>
      <c r="B72" s="4" t="s">
        <v>58</v>
      </c>
      <c r="C72" s="4">
        <v>2024</v>
      </c>
      <c r="D72" s="5">
        <v>19815829</v>
      </c>
      <c r="E72" s="6">
        <v>39.1</v>
      </c>
      <c r="F72" s="9">
        <v>39.9</v>
      </c>
    </row>
    <row r="73" spans="1:6" x14ac:dyDescent="0.25">
      <c r="A73" s="2" t="s">
        <v>9</v>
      </c>
      <c r="B73" s="2" t="s">
        <v>45</v>
      </c>
      <c r="C73" s="2">
        <v>2024</v>
      </c>
      <c r="D73" s="3">
        <v>1839639</v>
      </c>
      <c r="E73" s="6">
        <v>14.6</v>
      </c>
      <c r="F73" s="8">
        <v>3.7</v>
      </c>
    </row>
    <row r="74" spans="1:6" x14ac:dyDescent="0.25">
      <c r="A74" s="4" t="s">
        <v>9</v>
      </c>
      <c r="B74" s="4" t="s">
        <v>56</v>
      </c>
      <c r="C74" s="4">
        <v>2024</v>
      </c>
      <c r="D74" s="5">
        <v>1372789</v>
      </c>
      <c r="E74" s="6">
        <v>42.5</v>
      </c>
      <c r="F74" s="9">
        <v>2.8</v>
      </c>
    </row>
    <row r="75" spans="1:6" x14ac:dyDescent="0.25">
      <c r="A75" s="2" t="s">
        <v>9</v>
      </c>
      <c r="B75" s="2" t="s">
        <v>83</v>
      </c>
      <c r="C75" s="2">
        <v>2024</v>
      </c>
      <c r="D75" s="3">
        <v>620044</v>
      </c>
      <c r="E75" s="6">
        <v>149.69999999999999</v>
      </c>
      <c r="F75" s="8">
        <v>1.2</v>
      </c>
    </row>
    <row r="76" spans="1:6" x14ac:dyDescent="0.25">
      <c r="A76" s="4" t="s">
        <v>9</v>
      </c>
      <c r="B76" s="4" t="s">
        <v>85</v>
      </c>
      <c r="C76" s="4">
        <v>2024</v>
      </c>
      <c r="D76" s="5">
        <v>227891</v>
      </c>
      <c r="E76" s="6">
        <v>518.20000000000005</v>
      </c>
      <c r="F76" s="9">
        <v>0.5</v>
      </c>
    </row>
    <row r="77" spans="1:6" x14ac:dyDescent="0.25">
      <c r="A77" s="2" t="s">
        <v>9</v>
      </c>
      <c r="B77" s="2" t="s">
        <v>46</v>
      </c>
      <c r="C77" s="2">
        <v>2024</v>
      </c>
      <c r="D77" s="3">
        <v>107460</v>
      </c>
      <c r="E77" s="2"/>
      <c r="F77" s="8">
        <v>0.2</v>
      </c>
    </row>
    <row r="78" spans="1:6" x14ac:dyDescent="0.25">
      <c r="A78" s="4" t="s">
        <v>9</v>
      </c>
      <c r="B78" s="4" t="s">
        <v>86</v>
      </c>
      <c r="C78" s="4">
        <v>2024</v>
      </c>
      <c r="D78" s="5">
        <v>100145</v>
      </c>
      <c r="E78" s="4"/>
      <c r="F78" s="9">
        <v>0.2</v>
      </c>
    </row>
    <row r="79" spans="1:6" x14ac:dyDescent="0.25">
      <c r="A79" s="2" t="s">
        <v>9</v>
      </c>
      <c r="B79" s="2" t="s">
        <v>84</v>
      </c>
      <c r="C79" s="2">
        <v>2024</v>
      </c>
      <c r="D79" s="3">
        <v>39607</v>
      </c>
      <c r="E79" s="7">
        <v>-66.900000000000006</v>
      </c>
      <c r="F79" s="8">
        <v>0.1</v>
      </c>
    </row>
    <row r="80" spans="1:6" x14ac:dyDescent="0.25">
      <c r="A80" s="4" t="s">
        <v>9</v>
      </c>
      <c r="B80" s="4" t="s">
        <v>50</v>
      </c>
      <c r="C80" s="4">
        <v>2024</v>
      </c>
      <c r="D80" s="5">
        <v>31311</v>
      </c>
      <c r="E80" s="7">
        <v>-41.6</v>
      </c>
      <c r="F80" s="9">
        <v>0.1</v>
      </c>
    </row>
    <row r="81" spans="1:6" x14ac:dyDescent="0.25">
      <c r="A81" s="2" t="s">
        <v>9</v>
      </c>
      <c r="B81" s="2" t="s">
        <v>58</v>
      </c>
      <c r="C81" s="2">
        <v>2025</v>
      </c>
      <c r="D81" s="3">
        <v>22985441</v>
      </c>
      <c r="E81" s="6">
        <v>16</v>
      </c>
      <c r="F81" s="8">
        <v>47.6</v>
      </c>
    </row>
    <row r="82" spans="1:6" x14ac:dyDescent="0.25">
      <c r="A82" s="4" t="s">
        <v>9</v>
      </c>
      <c r="B82" s="4" t="s">
        <v>48</v>
      </c>
      <c r="C82" s="4">
        <v>2025</v>
      </c>
      <c r="D82" s="5">
        <v>21110946</v>
      </c>
      <c r="E82" s="7">
        <v>-17.3</v>
      </c>
      <c r="F82" s="9">
        <v>43.8</v>
      </c>
    </row>
    <row r="83" spans="1:6" x14ac:dyDescent="0.25">
      <c r="A83" s="2" t="s">
        <v>9</v>
      </c>
      <c r="B83" s="2" t="s">
        <v>45</v>
      </c>
      <c r="C83" s="2">
        <v>2025</v>
      </c>
      <c r="D83" s="3">
        <v>1358294</v>
      </c>
      <c r="E83" s="7">
        <v>-26.2</v>
      </c>
      <c r="F83" s="8">
        <v>2.8</v>
      </c>
    </row>
    <row r="84" spans="1:6" x14ac:dyDescent="0.25">
      <c r="A84" s="4" t="s">
        <v>9</v>
      </c>
      <c r="B84" s="4" t="s">
        <v>56</v>
      </c>
      <c r="C84" s="4">
        <v>2025</v>
      </c>
      <c r="D84" s="5">
        <v>1031778</v>
      </c>
      <c r="E84" s="7">
        <v>-24.8</v>
      </c>
      <c r="F84" s="9">
        <v>2.1</v>
      </c>
    </row>
    <row r="85" spans="1:6" x14ac:dyDescent="0.25">
      <c r="A85" s="2" t="s">
        <v>9</v>
      </c>
      <c r="B85" s="2" t="s">
        <v>83</v>
      </c>
      <c r="C85" s="2">
        <v>2025</v>
      </c>
      <c r="D85" s="3">
        <v>635315</v>
      </c>
      <c r="E85" s="6">
        <v>2.5</v>
      </c>
      <c r="F85" s="8">
        <v>1.3</v>
      </c>
    </row>
    <row r="86" spans="1:6" x14ac:dyDescent="0.25">
      <c r="A86" s="4" t="s">
        <v>9</v>
      </c>
      <c r="B86" s="4" t="s">
        <v>50</v>
      </c>
      <c r="C86" s="4">
        <v>2025</v>
      </c>
      <c r="D86" s="5">
        <v>343293</v>
      </c>
      <c r="E86" s="6">
        <v>996.4</v>
      </c>
      <c r="F86" s="9">
        <v>0.7</v>
      </c>
    </row>
    <row r="87" spans="1:6" x14ac:dyDescent="0.25">
      <c r="A87" s="2" t="s">
        <v>9</v>
      </c>
      <c r="B87" s="2" t="s">
        <v>84</v>
      </c>
      <c r="C87" s="2">
        <v>2025</v>
      </c>
      <c r="D87" s="3">
        <v>233222</v>
      </c>
      <c r="E87" s="6">
        <v>488.8</v>
      </c>
      <c r="F87" s="8">
        <v>0.5</v>
      </c>
    </row>
    <row r="88" spans="1:6" x14ac:dyDescent="0.25">
      <c r="A88" s="4" t="s">
        <v>9</v>
      </c>
      <c r="B88" s="4" t="s">
        <v>86</v>
      </c>
      <c r="C88" s="4">
        <v>2025</v>
      </c>
      <c r="D88" s="5">
        <v>205534</v>
      </c>
      <c r="E88" s="6">
        <v>105.2</v>
      </c>
      <c r="F88" s="9">
        <v>0.4</v>
      </c>
    </row>
    <row r="89" spans="1:6" x14ac:dyDescent="0.25">
      <c r="A89" s="2" t="s">
        <v>9</v>
      </c>
      <c r="B89" s="2" t="s">
        <v>46</v>
      </c>
      <c r="C89" s="2">
        <v>2025</v>
      </c>
      <c r="D89" s="3">
        <v>201540</v>
      </c>
      <c r="E89" s="6">
        <v>87.5</v>
      </c>
      <c r="F89" s="8">
        <v>0.4</v>
      </c>
    </row>
    <row r="90" spans="1:6" x14ac:dyDescent="0.25">
      <c r="A90" s="4" t="s">
        <v>9</v>
      </c>
      <c r="B90" s="4" t="s">
        <v>85</v>
      </c>
      <c r="C90" s="4">
        <v>2025</v>
      </c>
      <c r="D90" s="5">
        <v>142120</v>
      </c>
      <c r="E90" s="7">
        <v>-37.6</v>
      </c>
      <c r="F90" s="9">
        <v>0.3</v>
      </c>
    </row>
  </sheetData>
  <mergeCells count="1"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3"/>
  <sheetViews>
    <sheetView workbookViewId="0">
      <pane ySplit="2" topLeftCell="A3" activePane="bottomLeft" state="frozen"/>
      <selection pane="bottomLeft" sqref="A1:G1"/>
    </sheetView>
  </sheetViews>
  <sheetFormatPr defaultRowHeight="15" x14ac:dyDescent="0.25"/>
  <cols>
    <col min="1" max="1" width="7.7109375" customWidth="1"/>
    <col min="2" max="2" width="15.7109375" customWidth="1"/>
    <col min="3" max="3" width="26.7109375" customWidth="1"/>
    <col min="4" max="4" width="21.7109375" customWidth="1"/>
    <col min="5" max="5" width="22.7109375" customWidth="1"/>
    <col min="6" max="6" width="20.7109375" customWidth="1"/>
    <col min="7" max="7" width="15.7109375" customWidth="1"/>
  </cols>
  <sheetData>
    <row r="1" spans="1:7" ht="20.100000000000001" customHeight="1" x14ac:dyDescent="0.25">
      <c r="A1" s="18" t="s">
        <v>94</v>
      </c>
      <c r="B1" s="18"/>
      <c r="C1" s="18"/>
      <c r="D1" s="18"/>
      <c r="E1" s="18"/>
      <c r="F1" s="18"/>
      <c r="G1" s="18"/>
    </row>
    <row r="2" spans="1:7" ht="38.1" customHeight="1" x14ac:dyDescent="0.25">
      <c r="A2" s="1" t="s">
        <v>0</v>
      </c>
      <c r="B2" s="1" t="s">
        <v>88</v>
      </c>
      <c r="C2" s="1" t="s">
        <v>89</v>
      </c>
      <c r="D2" s="1" t="s">
        <v>90</v>
      </c>
      <c r="E2" s="1" t="s">
        <v>91</v>
      </c>
      <c r="F2" s="1" t="s">
        <v>92</v>
      </c>
      <c r="G2" s="1" t="s">
        <v>93</v>
      </c>
    </row>
    <row r="3" spans="1:7" x14ac:dyDescent="0.25">
      <c r="A3" s="2">
        <v>2015</v>
      </c>
      <c r="B3" s="3">
        <v>386421371</v>
      </c>
      <c r="C3" s="3">
        <v>1060374575</v>
      </c>
      <c r="D3" s="8">
        <v>36.441968726004212</v>
      </c>
      <c r="E3" s="2"/>
      <c r="F3" s="2"/>
      <c r="G3" s="2"/>
    </row>
    <row r="4" spans="1:7" x14ac:dyDescent="0.25">
      <c r="A4" s="4">
        <v>2016</v>
      </c>
      <c r="B4" s="5">
        <v>429663787</v>
      </c>
      <c r="C4" s="5">
        <v>1103337447</v>
      </c>
      <c r="D4" s="9">
        <v>38.94219199831074</v>
      </c>
      <c r="E4" s="6">
        <v>11.2</v>
      </c>
      <c r="F4" s="6">
        <v>4.0999999999999996</v>
      </c>
      <c r="G4" s="6">
        <v>2.5</v>
      </c>
    </row>
    <row r="5" spans="1:7" x14ac:dyDescent="0.25">
      <c r="A5" s="2">
        <v>2017</v>
      </c>
      <c r="B5" s="3">
        <v>508357693</v>
      </c>
      <c r="C5" s="3">
        <v>1302656800</v>
      </c>
      <c r="D5" s="8">
        <v>39.024683477643528</v>
      </c>
      <c r="E5" s="6">
        <v>18.3</v>
      </c>
      <c r="F5" s="6">
        <v>18.100000000000001</v>
      </c>
      <c r="G5" s="6">
        <v>0.08</v>
      </c>
    </row>
    <row r="6" spans="1:7" x14ac:dyDescent="0.25">
      <c r="A6" s="4">
        <v>2018</v>
      </c>
      <c r="B6" s="5">
        <v>574096393</v>
      </c>
      <c r="C6" s="5">
        <v>1495404122</v>
      </c>
      <c r="D6" s="9">
        <v>38.390718906952429</v>
      </c>
      <c r="E6" s="6">
        <v>12.9</v>
      </c>
      <c r="F6" s="6">
        <v>14.8</v>
      </c>
      <c r="G6" s="7">
        <v>-0.63</v>
      </c>
    </row>
    <row r="7" spans="1:7" x14ac:dyDescent="0.25">
      <c r="A7" s="2">
        <v>2019</v>
      </c>
      <c r="B7" s="3">
        <v>608859394</v>
      </c>
      <c r="C7" s="3">
        <v>1426001920</v>
      </c>
      <c r="D7" s="8">
        <v>42.696954713777657</v>
      </c>
      <c r="E7" s="6">
        <v>6.1</v>
      </c>
      <c r="F7" s="7">
        <v>-4.5999999999999996</v>
      </c>
      <c r="G7" s="6">
        <v>4.3099999999999996</v>
      </c>
    </row>
    <row r="8" spans="1:7" x14ac:dyDescent="0.25">
      <c r="A8" s="4">
        <v>2020</v>
      </c>
      <c r="B8" s="5">
        <v>730508215</v>
      </c>
      <c r="C8" s="5">
        <v>1539823381</v>
      </c>
      <c r="D8" s="9">
        <v>47.441039278517103</v>
      </c>
      <c r="E8" s="6">
        <v>20</v>
      </c>
      <c r="F8" s="6">
        <v>8</v>
      </c>
      <c r="G8" s="6">
        <v>4.74</v>
      </c>
    </row>
    <row r="9" spans="1:7" x14ac:dyDescent="0.25">
      <c r="A9" s="2">
        <v>2021</v>
      </c>
      <c r="B9" s="3">
        <v>1072112422</v>
      </c>
      <c r="C9" s="3">
        <v>2145305632</v>
      </c>
      <c r="D9" s="8">
        <v>49.97481039568725</v>
      </c>
      <c r="E9" s="6">
        <v>46.8</v>
      </c>
      <c r="F9" s="6">
        <v>39.299999999999997</v>
      </c>
      <c r="G9" s="6">
        <v>2.5299999999999998</v>
      </c>
    </row>
    <row r="10" spans="1:7" x14ac:dyDescent="0.25">
      <c r="A10" s="4">
        <v>2022</v>
      </c>
      <c r="B10" s="5">
        <v>1061087483</v>
      </c>
      <c r="C10" s="5">
        <v>2309618035</v>
      </c>
      <c r="D10" s="9">
        <v>45.942119732365192</v>
      </c>
      <c r="E10" s="7">
        <v>-1</v>
      </c>
      <c r="F10" s="6">
        <v>7.7</v>
      </c>
      <c r="G10" s="7">
        <v>-4.03</v>
      </c>
    </row>
    <row r="11" spans="1:7" x14ac:dyDescent="0.25">
      <c r="A11" s="2">
        <v>2023</v>
      </c>
      <c r="B11" s="3">
        <v>723280923</v>
      </c>
      <c r="C11" s="3">
        <v>1766523806</v>
      </c>
      <c r="D11" s="8">
        <v>40.943740500036043</v>
      </c>
      <c r="E11" s="7">
        <v>-31.8</v>
      </c>
      <c r="F11" s="7">
        <v>-23.5</v>
      </c>
      <c r="G11" s="7">
        <v>-5</v>
      </c>
    </row>
    <row r="12" spans="1:7" x14ac:dyDescent="0.25">
      <c r="A12" s="4">
        <v>2024</v>
      </c>
      <c r="B12" s="5">
        <v>795507656</v>
      </c>
      <c r="C12" s="5">
        <v>1944148561</v>
      </c>
      <c r="D12" s="9">
        <v>40.918048751933817</v>
      </c>
      <c r="E12" s="6">
        <v>10</v>
      </c>
      <c r="F12" s="6">
        <v>10.1</v>
      </c>
      <c r="G12" s="7">
        <v>-0.03</v>
      </c>
    </row>
    <row r="13" spans="1:7" x14ac:dyDescent="0.25">
      <c r="A13" s="2">
        <v>2025</v>
      </c>
      <c r="B13" s="3">
        <v>620674476</v>
      </c>
      <c r="C13" s="3">
        <v>1861447458</v>
      </c>
      <c r="D13" s="8">
        <v>33.34364734994309</v>
      </c>
      <c r="E13" s="7">
        <v>-22</v>
      </c>
      <c r="F13" s="7">
        <v>-4.3</v>
      </c>
      <c r="G13" s="7">
        <v>-7.57</v>
      </c>
    </row>
  </sheetData>
  <mergeCells count="1">
    <mergeCell ref="A1:G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38"/>
  <sheetViews>
    <sheetView workbookViewId="0">
      <pane ySplit="2" topLeftCell="A3" activePane="bottomLeft" state="frozen"/>
      <selection pane="bottomLeft" sqref="A1:I1"/>
    </sheetView>
  </sheetViews>
  <sheetFormatPr defaultRowHeight="15" x14ac:dyDescent="0.25"/>
  <cols>
    <col min="1" max="1" width="7.7109375" customWidth="1"/>
    <col min="2" max="2" width="6.7109375" customWidth="1"/>
    <col min="3" max="3" width="14.7109375" customWidth="1"/>
    <col min="4" max="4" width="17.7109375" customWidth="1"/>
    <col min="5" max="6" width="16.7109375" customWidth="1"/>
    <col min="7" max="7" width="35.7109375" customWidth="1"/>
    <col min="8" max="8" width="37.7109375" customWidth="1"/>
    <col min="9" max="9" width="15.7109375" customWidth="1"/>
  </cols>
  <sheetData>
    <row r="1" spans="1:9" ht="20.100000000000001" customHeight="1" x14ac:dyDescent="0.25">
      <c r="A1" s="18" t="s">
        <v>100</v>
      </c>
      <c r="B1" s="18"/>
      <c r="C1" s="18"/>
      <c r="D1" s="18"/>
      <c r="E1" s="18"/>
      <c r="F1" s="18"/>
      <c r="G1" s="18"/>
      <c r="H1" s="18"/>
      <c r="I1" s="18"/>
    </row>
    <row r="2" spans="1:9" ht="38.1" customHeight="1" x14ac:dyDescent="0.25">
      <c r="A2" s="1" t="s">
        <v>0</v>
      </c>
      <c r="B2" s="1" t="s">
        <v>95</v>
      </c>
      <c r="C2" s="1" t="s">
        <v>88</v>
      </c>
      <c r="D2" s="1" t="s">
        <v>96</v>
      </c>
      <c r="E2" s="1" t="s">
        <v>97</v>
      </c>
      <c r="F2" s="1" t="s">
        <v>90</v>
      </c>
      <c r="G2" s="1" t="s">
        <v>98</v>
      </c>
      <c r="H2" s="1" t="s">
        <v>99</v>
      </c>
      <c r="I2" s="1" t="s">
        <v>93</v>
      </c>
    </row>
    <row r="3" spans="1:9" x14ac:dyDescent="0.25">
      <c r="A3" s="2">
        <v>2023</v>
      </c>
      <c r="B3" s="2">
        <v>1</v>
      </c>
      <c r="C3" s="3">
        <v>41200717</v>
      </c>
      <c r="D3" s="3">
        <v>80392803</v>
      </c>
      <c r="E3" s="3">
        <v>121593520</v>
      </c>
      <c r="F3" s="8">
        <v>33.9</v>
      </c>
      <c r="G3" s="2"/>
      <c r="H3" s="2"/>
      <c r="I3" s="2"/>
    </row>
    <row r="4" spans="1:9" x14ac:dyDescent="0.25">
      <c r="A4" s="4">
        <v>2023</v>
      </c>
      <c r="B4" s="4">
        <v>2</v>
      </c>
      <c r="C4" s="5">
        <v>56807042</v>
      </c>
      <c r="D4" s="5">
        <v>71928302</v>
      </c>
      <c r="E4" s="5">
        <v>128735344</v>
      </c>
      <c r="F4" s="9">
        <v>44.1</v>
      </c>
      <c r="G4" s="4"/>
      <c r="H4" s="4"/>
      <c r="I4" s="4"/>
    </row>
    <row r="5" spans="1:9" x14ac:dyDescent="0.25">
      <c r="A5" s="2">
        <v>2023</v>
      </c>
      <c r="B5" s="2">
        <v>3</v>
      </c>
      <c r="C5" s="3">
        <v>63903507</v>
      </c>
      <c r="D5" s="3">
        <v>103860349</v>
      </c>
      <c r="E5" s="3">
        <v>167763856</v>
      </c>
      <c r="F5" s="8">
        <v>38.1</v>
      </c>
      <c r="G5" s="2"/>
      <c r="H5" s="2"/>
      <c r="I5" s="2"/>
    </row>
    <row r="6" spans="1:9" x14ac:dyDescent="0.25">
      <c r="A6" s="4">
        <v>2023</v>
      </c>
      <c r="B6" s="4">
        <v>4</v>
      </c>
      <c r="C6" s="5">
        <v>58406220</v>
      </c>
      <c r="D6" s="5">
        <v>97713122</v>
      </c>
      <c r="E6" s="5">
        <v>156119342</v>
      </c>
      <c r="F6" s="9">
        <v>37.4</v>
      </c>
      <c r="G6" s="4"/>
      <c r="H6" s="4"/>
      <c r="I6" s="4"/>
    </row>
    <row r="7" spans="1:9" x14ac:dyDescent="0.25">
      <c r="A7" s="2">
        <v>2023</v>
      </c>
      <c r="B7" s="2">
        <v>5</v>
      </c>
      <c r="C7" s="3">
        <v>62481957</v>
      </c>
      <c r="D7" s="3">
        <v>105575485</v>
      </c>
      <c r="E7" s="3">
        <v>168057442</v>
      </c>
      <c r="F7" s="8">
        <v>37.200000000000003</v>
      </c>
      <c r="G7" s="2"/>
      <c r="H7" s="2"/>
      <c r="I7" s="2"/>
    </row>
    <row r="8" spans="1:9" x14ac:dyDescent="0.25">
      <c r="A8" s="4">
        <v>2023</v>
      </c>
      <c r="B8" s="4">
        <v>6</v>
      </c>
      <c r="C8" s="5">
        <v>61178987</v>
      </c>
      <c r="D8" s="5">
        <v>101446194</v>
      </c>
      <c r="E8" s="5">
        <v>162625181</v>
      </c>
      <c r="F8" s="9">
        <v>37.6</v>
      </c>
      <c r="G8" s="4"/>
      <c r="H8" s="4"/>
      <c r="I8" s="4"/>
    </row>
    <row r="9" spans="1:9" x14ac:dyDescent="0.25">
      <c r="A9" s="2">
        <v>2023</v>
      </c>
      <c r="B9" s="2">
        <v>7</v>
      </c>
      <c r="C9" s="3">
        <v>73622930</v>
      </c>
      <c r="D9" s="3">
        <v>85305663</v>
      </c>
      <c r="E9" s="3">
        <v>158928593</v>
      </c>
      <c r="F9" s="8">
        <v>46.3</v>
      </c>
      <c r="G9" s="2"/>
      <c r="H9" s="2"/>
      <c r="I9" s="2"/>
    </row>
    <row r="10" spans="1:9" x14ac:dyDescent="0.25">
      <c r="A10" s="4">
        <v>2023</v>
      </c>
      <c r="B10" s="4">
        <v>8</v>
      </c>
      <c r="C10" s="5">
        <v>72894258</v>
      </c>
      <c r="D10" s="5">
        <v>97231677</v>
      </c>
      <c r="E10" s="5">
        <v>170125935</v>
      </c>
      <c r="F10" s="9">
        <v>42.8</v>
      </c>
      <c r="G10" s="4"/>
      <c r="H10" s="4"/>
      <c r="I10" s="4"/>
    </row>
    <row r="11" spans="1:9" x14ac:dyDescent="0.25">
      <c r="A11" s="2">
        <v>2023</v>
      </c>
      <c r="B11" s="2">
        <v>9</v>
      </c>
      <c r="C11" s="3">
        <v>63541738</v>
      </c>
      <c r="D11" s="3">
        <v>75943274</v>
      </c>
      <c r="E11" s="3">
        <v>139485012</v>
      </c>
      <c r="F11" s="8">
        <v>45.6</v>
      </c>
      <c r="G11" s="2"/>
      <c r="H11" s="2"/>
      <c r="I11" s="2"/>
    </row>
    <row r="12" spans="1:9" x14ac:dyDescent="0.25">
      <c r="A12" s="4">
        <v>2023</v>
      </c>
      <c r="B12" s="4">
        <v>10</v>
      </c>
      <c r="C12" s="5">
        <v>44654734</v>
      </c>
      <c r="D12" s="5">
        <v>64424679</v>
      </c>
      <c r="E12" s="5">
        <v>109079413</v>
      </c>
      <c r="F12" s="9">
        <v>40.9</v>
      </c>
      <c r="G12" s="4"/>
      <c r="H12" s="4"/>
      <c r="I12" s="4"/>
    </row>
    <row r="13" spans="1:9" x14ac:dyDescent="0.25">
      <c r="A13" s="2">
        <v>2023</v>
      </c>
      <c r="B13" s="2">
        <v>11</v>
      </c>
      <c r="C13" s="3">
        <v>71115083</v>
      </c>
      <c r="D13" s="3">
        <v>68660020</v>
      </c>
      <c r="E13" s="3">
        <v>139775103</v>
      </c>
      <c r="F13" s="8">
        <v>50.9</v>
      </c>
      <c r="G13" s="2"/>
      <c r="H13" s="2"/>
      <c r="I13" s="2"/>
    </row>
    <row r="14" spans="1:9" x14ac:dyDescent="0.25">
      <c r="A14" s="4">
        <v>2023</v>
      </c>
      <c r="B14" s="4">
        <v>12</v>
      </c>
      <c r="C14" s="5">
        <v>53473750</v>
      </c>
      <c r="D14" s="5">
        <v>90761315</v>
      </c>
      <c r="E14" s="5">
        <v>144235065</v>
      </c>
      <c r="F14" s="9">
        <v>37.1</v>
      </c>
      <c r="G14" s="4"/>
      <c r="H14" s="4"/>
      <c r="I14" s="4"/>
    </row>
    <row r="15" spans="1:9" x14ac:dyDescent="0.25">
      <c r="A15" s="2">
        <v>2024</v>
      </c>
      <c r="B15" s="2">
        <v>1</v>
      </c>
      <c r="C15" s="3">
        <v>61187818</v>
      </c>
      <c r="D15" s="3">
        <v>88971087</v>
      </c>
      <c r="E15" s="3">
        <v>150158905</v>
      </c>
      <c r="F15" s="8">
        <v>40.700000000000003</v>
      </c>
      <c r="G15" s="6">
        <v>48.5</v>
      </c>
      <c r="H15" s="6">
        <v>23.5</v>
      </c>
      <c r="I15" s="6">
        <v>6.8</v>
      </c>
    </row>
    <row r="16" spans="1:9" x14ac:dyDescent="0.25">
      <c r="A16" s="4">
        <v>2024</v>
      </c>
      <c r="B16" s="4">
        <v>2</v>
      </c>
      <c r="C16" s="5">
        <v>63688537</v>
      </c>
      <c r="D16" s="5">
        <v>90802490</v>
      </c>
      <c r="E16" s="5">
        <v>154491027</v>
      </c>
      <c r="F16" s="9">
        <v>41.2</v>
      </c>
      <c r="G16" s="6">
        <v>12.1</v>
      </c>
      <c r="H16" s="6">
        <v>20</v>
      </c>
      <c r="I16" s="7">
        <v>-2.9</v>
      </c>
    </row>
    <row r="17" spans="1:9" x14ac:dyDescent="0.25">
      <c r="A17" s="2">
        <v>2024</v>
      </c>
      <c r="B17" s="2">
        <v>3</v>
      </c>
      <c r="C17" s="3">
        <v>65917608</v>
      </c>
      <c r="D17" s="3">
        <v>79104413</v>
      </c>
      <c r="E17" s="3">
        <v>145022021</v>
      </c>
      <c r="F17" s="8">
        <v>45.5</v>
      </c>
      <c r="G17" s="6">
        <v>3.2</v>
      </c>
      <c r="H17" s="7">
        <v>-13.6</v>
      </c>
      <c r="I17" s="6">
        <v>7.4</v>
      </c>
    </row>
    <row r="18" spans="1:9" x14ac:dyDescent="0.25">
      <c r="A18" s="4">
        <v>2024</v>
      </c>
      <c r="B18" s="4">
        <v>4</v>
      </c>
      <c r="C18" s="5">
        <v>63382626</v>
      </c>
      <c r="D18" s="5">
        <v>94115433</v>
      </c>
      <c r="E18" s="5">
        <v>157498059</v>
      </c>
      <c r="F18" s="9">
        <v>40.200000000000003</v>
      </c>
      <c r="G18" s="6">
        <v>8.5</v>
      </c>
      <c r="H18" s="6">
        <v>0.9</v>
      </c>
      <c r="I18" s="6">
        <v>2.8</v>
      </c>
    </row>
    <row r="19" spans="1:9" x14ac:dyDescent="0.25">
      <c r="A19" s="2">
        <v>2024</v>
      </c>
      <c r="B19" s="2">
        <v>5</v>
      </c>
      <c r="C19" s="3">
        <v>74673076</v>
      </c>
      <c r="D19" s="3">
        <v>106857052</v>
      </c>
      <c r="E19" s="3">
        <v>181530128</v>
      </c>
      <c r="F19" s="8">
        <v>41.1</v>
      </c>
      <c r="G19" s="6">
        <v>19.5</v>
      </c>
      <c r="H19" s="6">
        <v>8</v>
      </c>
      <c r="I19" s="6">
        <v>3.9</v>
      </c>
    </row>
    <row r="20" spans="1:9" x14ac:dyDescent="0.25">
      <c r="A20" s="4">
        <v>2024</v>
      </c>
      <c r="B20" s="4">
        <v>6</v>
      </c>
      <c r="C20" s="5">
        <v>59980100</v>
      </c>
      <c r="D20" s="5">
        <v>97141291</v>
      </c>
      <c r="E20" s="5">
        <v>157121391</v>
      </c>
      <c r="F20" s="9">
        <v>38.200000000000003</v>
      </c>
      <c r="G20" s="7">
        <v>-2</v>
      </c>
      <c r="H20" s="7">
        <v>-3.4</v>
      </c>
      <c r="I20" s="6">
        <v>0.6</v>
      </c>
    </row>
    <row r="21" spans="1:9" x14ac:dyDescent="0.25">
      <c r="A21" s="2">
        <v>2024</v>
      </c>
      <c r="B21" s="2">
        <v>7</v>
      </c>
      <c r="C21" s="3">
        <v>48965373</v>
      </c>
      <c r="D21" s="3">
        <v>103525239</v>
      </c>
      <c r="E21" s="3">
        <v>152490612</v>
      </c>
      <c r="F21" s="8">
        <v>32.1</v>
      </c>
      <c r="G21" s="7">
        <v>-33.5</v>
      </c>
      <c r="H21" s="7">
        <v>-4.0999999999999996</v>
      </c>
      <c r="I21" s="7">
        <v>-14.2</v>
      </c>
    </row>
    <row r="22" spans="1:9" x14ac:dyDescent="0.25">
      <c r="A22" s="4">
        <v>2024</v>
      </c>
      <c r="B22" s="4">
        <v>8</v>
      </c>
      <c r="C22" s="5">
        <v>70328023</v>
      </c>
      <c r="D22" s="5">
        <v>90641835</v>
      </c>
      <c r="E22" s="5">
        <v>160969858</v>
      </c>
      <c r="F22" s="9">
        <v>43.7</v>
      </c>
      <c r="G22" s="7">
        <v>-3.5</v>
      </c>
      <c r="H22" s="7">
        <v>-5.4</v>
      </c>
      <c r="I22" s="6">
        <v>0.9</v>
      </c>
    </row>
    <row r="23" spans="1:9" x14ac:dyDescent="0.25">
      <c r="A23" s="2">
        <v>2024</v>
      </c>
      <c r="B23" s="2">
        <v>9</v>
      </c>
      <c r="C23" s="3">
        <v>73926794</v>
      </c>
      <c r="D23" s="3">
        <v>101448899</v>
      </c>
      <c r="E23" s="3">
        <v>175375693</v>
      </c>
      <c r="F23" s="8">
        <v>42.2</v>
      </c>
      <c r="G23" s="6">
        <v>16.3</v>
      </c>
      <c r="H23" s="6">
        <v>25.7</v>
      </c>
      <c r="I23" s="7">
        <v>-3.4</v>
      </c>
    </row>
    <row r="24" spans="1:9" x14ac:dyDescent="0.25">
      <c r="A24" s="4">
        <v>2024</v>
      </c>
      <c r="B24" s="4">
        <v>10</v>
      </c>
      <c r="C24" s="5">
        <v>50804826</v>
      </c>
      <c r="D24" s="5">
        <v>94798702</v>
      </c>
      <c r="E24" s="5">
        <v>145603528</v>
      </c>
      <c r="F24" s="9">
        <v>34.9</v>
      </c>
      <c r="G24" s="6">
        <v>13.8</v>
      </c>
      <c r="H24" s="6">
        <v>33.5</v>
      </c>
      <c r="I24" s="7">
        <v>-6</v>
      </c>
    </row>
    <row r="25" spans="1:9" x14ac:dyDescent="0.25">
      <c r="A25" s="2">
        <v>2024</v>
      </c>
      <c r="B25" s="2">
        <v>11</v>
      </c>
      <c r="C25" s="3">
        <v>87814659</v>
      </c>
      <c r="D25" s="3">
        <v>96266946</v>
      </c>
      <c r="E25" s="3">
        <v>184081605</v>
      </c>
      <c r="F25" s="8">
        <v>47.7</v>
      </c>
      <c r="G25" s="6">
        <v>23.5</v>
      </c>
      <c r="H25" s="6">
        <v>31.7</v>
      </c>
      <c r="I25" s="7">
        <v>-3.2</v>
      </c>
    </row>
    <row r="26" spans="1:9" x14ac:dyDescent="0.25">
      <c r="A26" s="4">
        <v>2024</v>
      </c>
      <c r="B26" s="4">
        <v>12</v>
      </c>
      <c r="C26" s="5">
        <v>74838216</v>
      </c>
      <c r="D26" s="5">
        <v>104967518</v>
      </c>
      <c r="E26" s="5">
        <v>179805734</v>
      </c>
      <c r="F26" s="9">
        <v>41.6</v>
      </c>
      <c r="G26" s="6">
        <v>40</v>
      </c>
      <c r="H26" s="6">
        <v>24.7</v>
      </c>
      <c r="I26" s="6">
        <v>4.5</v>
      </c>
    </row>
    <row r="27" spans="1:9" x14ac:dyDescent="0.25">
      <c r="A27" s="2">
        <v>2025</v>
      </c>
      <c r="B27" s="2">
        <v>1</v>
      </c>
      <c r="C27" s="3">
        <v>49573963</v>
      </c>
      <c r="D27" s="3">
        <v>92303168</v>
      </c>
      <c r="E27" s="3">
        <v>141877131</v>
      </c>
      <c r="F27" s="8">
        <v>34.9</v>
      </c>
      <c r="G27" s="7">
        <v>-19</v>
      </c>
      <c r="H27" s="7">
        <v>-5.5</v>
      </c>
      <c r="I27" s="7">
        <v>-5.8</v>
      </c>
    </row>
    <row r="28" spans="1:9" x14ac:dyDescent="0.25">
      <c r="A28" s="4">
        <v>2025</v>
      </c>
      <c r="B28" s="4">
        <v>2</v>
      </c>
      <c r="C28" s="5">
        <v>59735955</v>
      </c>
      <c r="D28" s="5">
        <v>100358602</v>
      </c>
      <c r="E28" s="5">
        <v>160094557</v>
      </c>
      <c r="F28" s="9">
        <v>37.299999999999997</v>
      </c>
      <c r="G28" s="7">
        <v>-6.2</v>
      </c>
      <c r="H28" s="6">
        <v>3.6</v>
      </c>
      <c r="I28" s="7">
        <v>-3.9</v>
      </c>
    </row>
    <row r="29" spans="1:9" x14ac:dyDescent="0.25">
      <c r="A29" s="2">
        <v>2025</v>
      </c>
      <c r="B29" s="2">
        <v>3</v>
      </c>
      <c r="C29" s="3">
        <v>72071819</v>
      </c>
      <c r="D29" s="3">
        <v>100904545</v>
      </c>
      <c r="E29" s="3">
        <v>172976364</v>
      </c>
      <c r="F29" s="8">
        <v>41.7</v>
      </c>
      <c r="G29" s="6">
        <v>9.3000000000000007</v>
      </c>
      <c r="H29" s="6">
        <v>19.3</v>
      </c>
      <c r="I29" s="7">
        <v>-3.8</v>
      </c>
    </row>
    <row r="30" spans="1:9" x14ac:dyDescent="0.25">
      <c r="A30" s="4">
        <v>2025</v>
      </c>
      <c r="B30" s="4">
        <v>4</v>
      </c>
      <c r="C30" s="5">
        <v>70457919</v>
      </c>
      <c r="D30" s="5">
        <v>107318156</v>
      </c>
      <c r="E30" s="5">
        <v>177776075</v>
      </c>
      <c r="F30" s="9">
        <v>39.6</v>
      </c>
      <c r="G30" s="6">
        <v>11.2</v>
      </c>
      <c r="H30" s="6">
        <v>12.9</v>
      </c>
      <c r="I30" s="7">
        <v>-0.6</v>
      </c>
    </row>
    <row r="31" spans="1:9" x14ac:dyDescent="0.25">
      <c r="A31" s="2">
        <v>2025</v>
      </c>
      <c r="B31" s="2">
        <v>5</v>
      </c>
      <c r="C31" s="3">
        <v>71398656</v>
      </c>
      <c r="D31" s="3">
        <v>103791561</v>
      </c>
      <c r="E31" s="3">
        <v>175190217</v>
      </c>
      <c r="F31" s="8">
        <v>40.799999999999997</v>
      </c>
      <c r="G31" s="7">
        <v>-4.4000000000000004</v>
      </c>
      <c r="H31" s="7">
        <v>-3.5</v>
      </c>
      <c r="I31" s="7">
        <v>-0.3</v>
      </c>
    </row>
    <row r="32" spans="1:9" x14ac:dyDescent="0.25">
      <c r="A32" s="4">
        <v>2025</v>
      </c>
      <c r="B32" s="4">
        <v>6</v>
      </c>
      <c r="C32" s="5">
        <v>67167750</v>
      </c>
      <c r="D32" s="5">
        <v>96846487</v>
      </c>
      <c r="E32" s="5">
        <v>164014237</v>
      </c>
      <c r="F32" s="9">
        <v>41</v>
      </c>
      <c r="G32" s="6">
        <v>12</v>
      </c>
      <c r="H32" s="6">
        <v>4.4000000000000004</v>
      </c>
      <c r="I32" s="6">
        <v>2.8</v>
      </c>
    </row>
    <row r="33" spans="1:9" x14ac:dyDescent="0.25">
      <c r="A33" s="2">
        <v>2025</v>
      </c>
      <c r="B33" s="2">
        <v>7</v>
      </c>
      <c r="C33" s="3">
        <v>67689866</v>
      </c>
      <c r="D33" s="3">
        <v>117576760</v>
      </c>
      <c r="E33" s="3">
        <v>185266626</v>
      </c>
      <c r="F33" s="8">
        <v>36.5</v>
      </c>
      <c r="G33" s="6">
        <v>38.200000000000003</v>
      </c>
      <c r="H33" s="6">
        <v>21.5</v>
      </c>
      <c r="I33" s="6">
        <v>4.4000000000000004</v>
      </c>
    </row>
    <row r="34" spans="1:9" x14ac:dyDescent="0.25">
      <c r="A34" s="4">
        <v>2025</v>
      </c>
      <c r="B34" s="4">
        <v>8</v>
      </c>
      <c r="C34" s="5">
        <v>43151802</v>
      </c>
      <c r="D34" s="5">
        <v>90067514</v>
      </c>
      <c r="E34" s="5">
        <v>133219316</v>
      </c>
      <c r="F34" s="9">
        <v>32.4</v>
      </c>
      <c r="G34" s="7">
        <v>-38.6</v>
      </c>
      <c r="H34" s="7">
        <v>-17.2</v>
      </c>
      <c r="I34" s="7">
        <v>-11.3</v>
      </c>
    </row>
    <row r="35" spans="1:9" x14ac:dyDescent="0.25">
      <c r="A35" s="2">
        <v>2025</v>
      </c>
      <c r="B35" s="2">
        <v>9</v>
      </c>
      <c r="C35" s="3">
        <v>29534499</v>
      </c>
      <c r="D35" s="3">
        <v>98468896</v>
      </c>
      <c r="E35" s="3">
        <v>128003395</v>
      </c>
      <c r="F35" s="8">
        <v>23.1</v>
      </c>
      <c r="G35" s="7">
        <v>-60</v>
      </c>
      <c r="H35" s="7">
        <v>-27</v>
      </c>
      <c r="I35" s="7">
        <v>-19.100000000000001</v>
      </c>
    </row>
    <row r="36" spans="1:9" x14ac:dyDescent="0.25">
      <c r="A36" s="4">
        <v>2025</v>
      </c>
      <c r="B36" s="4">
        <v>10</v>
      </c>
      <c r="C36" s="5">
        <v>33052350</v>
      </c>
      <c r="D36" s="5">
        <v>118742638</v>
      </c>
      <c r="E36" s="5">
        <v>151794988</v>
      </c>
      <c r="F36" s="9">
        <v>21.8</v>
      </c>
      <c r="G36" s="7">
        <v>-34.9</v>
      </c>
      <c r="H36" s="6">
        <v>4.3</v>
      </c>
      <c r="I36" s="7">
        <v>-13.1</v>
      </c>
    </row>
    <row r="37" spans="1:9" x14ac:dyDescent="0.25">
      <c r="A37" s="2">
        <v>2025</v>
      </c>
      <c r="B37" s="2">
        <v>11</v>
      </c>
      <c r="C37" s="3">
        <v>22399474</v>
      </c>
      <c r="D37" s="3">
        <v>98880377</v>
      </c>
      <c r="E37" s="3">
        <v>121279851</v>
      </c>
      <c r="F37" s="8">
        <v>18.5</v>
      </c>
      <c r="G37" s="7">
        <v>-74.5</v>
      </c>
      <c r="H37" s="7">
        <v>-34.1</v>
      </c>
      <c r="I37" s="7">
        <v>-29.2</v>
      </c>
    </row>
    <row r="38" spans="1:9" x14ac:dyDescent="0.25">
      <c r="A38" s="4">
        <v>2025</v>
      </c>
      <c r="B38" s="4">
        <v>12</v>
      </c>
      <c r="C38" s="5">
        <v>34440423</v>
      </c>
      <c r="D38" s="5">
        <v>115514278</v>
      </c>
      <c r="E38" s="5">
        <v>149954701</v>
      </c>
      <c r="F38" s="9">
        <v>23</v>
      </c>
      <c r="G38" s="7">
        <v>-54</v>
      </c>
      <c r="H38" s="7">
        <v>-16.600000000000001</v>
      </c>
      <c r="I38" s="7">
        <v>-18.600000000000001</v>
      </c>
    </row>
  </sheetData>
  <mergeCells count="1">
    <mergeCell ref="A1:I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7"/>
  <sheetViews>
    <sheetView workbookViewId="0">
      <pane ySplit="2" topLeftCell="A3" activePane="bottomLeft" state="frozen"/>
      <selection pane="bottomLeft" sqref="A1:H1"/>
    </sheetView>
  </sheetViews>
  <sheetFormatPr defaultRowHeight="15" x14ac:dyDescent="0.25"/>
  <cols>
    <col min="1" max="1" width="38.7109375" customWidth="1"/>
    <col min="2" max="2" width="21.7109375" customWidth="1"/>
    <col min="3" max="5" width="19.7109375" customWidth="1"/>
    <col min="6" max="6" width="18.7109375" customWidth="1"/>
    <col min="7" max="8" width="22.7109375" customWidth="1"/>
  </cols>
  <sheetData>
    <row r="1" spans="1:8" ht="20.100000000000001" customHeight="1" x14ac:dyDescent="0.25">
      <c r="A1" s="18" t="s">
        <v>110</v>
      </c>
      <c r="B1" s="18"/>
      <c r="C1" s="18"/>
      <c r="D1" s="18"/>
      <c r="E1" s="18"/>
      <c r="F1" s="18"/>
      <c r="G1" s="18"/>
      <c r="H1" s="18"/>
    </row>
    <row r="2" spans="1:8" ht="38.1" customHeight="1" x14ac:dyDescent="0.25">
      <c r="A2" s="1" t="s">
        <v>17</v>
      </c>
      <c r="B2" s="1" t="s">
        <v>2</v>
      </c>
      <c r="C2" s="1" t="s">
        <v>101</v>
      </c>
      <c r="D2" s="1" t="s">
        <v>102</v>
      </c>
      <c r="E2" s="1" t="s">
        <v>103</v>
      </c>
      <c r="F2" s="1" t="s">
        <v>104</v>
      </c>
      <c r="G2" s="1" t="s">
        <v>105</v>
      </c>
      <c r="H2" s="1" t="s">
        <v>106</v>
      </c>
    </row>
    <row r="3" spans="1:8" x14ac:dyDescent="0.25">
      <c r="A3" s="2" t="s">
        <v>23</v>
      </c>
      <c r="B3" s="2" t="s">
        <v>7</v>
      </c>
      <c r="C3" s="3">
        <v>243986801</v>
      </c>
      <c r="D3" s="3">
        <v>283848746</v>
      </c>
      <c r="E3" s="3">
        <v>203618884</v>
      </c>
      <c r="F3" s="11">
        <v>-80229862</v>
      </c>
      <c r="G3" s="8">
        <v>-28.2650049121584</v>
      </c>
      <c r="H3" s="8">
        <v>16.337746483261611</v>
      </c>
    </row>
    <row r="4" spans="1:8" x14ac:dyDescent="0.25">
      <c r="A4" s="4" t="s">
        <v>27</v>
      </c>
      <c r="B4" s="4" t="s">
        <v>7</v>
      </c>
      <c r="C4" s="5">
        <v>102301165</v>
      </c>
      <c r="D4" s="5">
        <v>126561527</v>
      </c>
      <c r="E4" s="5">
        <v>81342982</v>
      </c>
      <c r="F4" s="11">
        <v>-45218545</v>
      </c>
      <c r="G4" s="9">
        <v>-35.728507763658698</v>
      </c>
      <c r="H4" s="9">
        <v>23.714648801897809</v>
      </c>
    </row>
    <row r="5" spans="1:8" x14ac:dyDescent="0.25">
      <c r="A5" s="2" t="s">
        <v>25</v>
      </c>
      <c r="B5" s="2" t="s">
        <v>7</v>
      </c>
      <c r="C5" s="3">
        <v>83850734</v>
      </c>
      <c r="D5" s="3">
        <v>96652925</v>
      </c>
      <c r="E5" s="3">
        <v>81395937</v>
      </c>
      <c r="F5" s="11">
        <v>-15256988</v>
      </c>
      <c r="G5" s="8">
        <v>-15.78533500150151</v>
      </c>
      <c r="H5" s="8">
        <v>15.267834149191829</v>
      </c>
    </row>
    <row r="6" spans="1:8" x14ac:dyDescent="0.25">
      <c r="A6" s="4" t="s">
        <v>24</v>
      </c>
      <c r="B6" s="4" t="s">
        <v>7</v>
      </c>
      <c r="C6" s="5">
        <v>120518282</v>
      </c>
      <c r="D6" s="5">
        <v>114856734</v>
      </c>
      <c r="E6" s="5">
        <v>100756235</v>
      </c>
      <c r="F6" s="11">
        <v>-14100499</v>
      </c>
      <c r="G6" s="9">
        <v>-12.27659755674404</v>
      </c>
      <c r="H6" s="9">
        <v>-4.6976673630312789</v>
      </c>
    </row>
    <row r="7" spans="1:8" x14ac:dyDescent="0.25">
      <c r="A7" s="2" t="s">
        <v>29</v>
      </c>
      <c r="B7" s="2" t="s">
        <v>7</v>
      </c>
      <c r="C7" s="3">
        <v>12402213</v>
      </c>
      <c r="D7" s="3">
        <v>20209268</v>
      </c>
      <c r="E7" s="3">
        <v>14973464</v>
      </c>
      <c r="F7" s="11">
        <v>-5235804</v>
      </c>
      <c r="G7" s="8">
        <v>-25.907934913822711</v>
      </c>
      <c r="H7" s="8">
        <v>62.948886622089141</v>
      </c>
    </row>
    <row r="8" spans="1:8" x14ac:dyDescent="0.25">
      <c r="A8" s="4" t="s">
        <v>35</v>
      </c>
      <c r="B8" s="4" t="s">
        <v>7</v>
      </c>
      <c r="C8" s="5">
        <v>13160691</v>
      </c>
      <c r="D8" s="5">
        <v>11655314</v>
      </c>
      <c r="E8" s="5">
        <v>8721168</v>
      </c>
      <c r="F8" s="11">
        <v>-2934146</v>
      </c>
      <c r="G8" s="9">
        <v>-25.174319627939671</v>
      </c>
      <c r="H8" s="9">
        <v>-11.438434349685741</v>
      </c>
    </row>
    <row r="9" spans="1:8" x14ac:dyDescent="0.25">
      <c r="A9" s="2" t="s">
        <v>38</v>
      </c>
      <c r="B9" s="2" t="s">
        <v>7</v>
      </c>
      <c r="C9" s="3">
        <v>9738196</v>
      </c>
      <c r="D9" s="3">
        <v>7687744</v>
      </c>
      <c r="E9" s="3">
        <v>5463653</v>
      </c>
      <c r="F9" s="11">
        <v>-2224091</v>
      </c>
      <c r="G9" s="8">
        <v>-28.930346796147219</v>
      </c>
      <c r="H9" s="8">
        <v>-21.05576844006837</v>
      </c>
    </row>
    <row r="10" spans="1:8" x14ac:dyDescent="0.25">
      <c r="A10" s="4" t="s">
        <v>22</v>
      </c>
      <c r="B10" s="4" t="s">
        <v>7</v>
      </c>
      <c r="C10" s="5">
        <v>90855153</v>
      </c>
      <c r="D10" s="5">
        <v>94657365</v>
      </c>
      <c r="E10" s="5">
        <v>92709537</v>
      </c>
      <c r="F10" s="11">
        <v>-1947828</v>
      </c>
      <c r="G10" s="9">
        <v>-2.0577669788293811</v>
      </c>
      <c r="H10" s="9">
        <v>4.1849161819143044</v>
      </c>
    </row>
    <row r="11" spans="1:8" x14ac:dyDescent="0.25">
      <c r="A11" s="2" t="s">
        <v>107</v>
      </c>
      <c r="B11" s="2" t="s">
        <v>7</v>
      </c>
      <c r="C11" s="3">
        <v>3446772</v>
      </c>
      <c r="D11" s="3">
        <v>2739634</v>
      </c>
      <c r="E11" s="3">
        <v>927233</v>
      </c>
      <c r="F11" s="11">
        <v>-1812401</v>
      </c>
      <c r="G11" s="8">
        <v>-66.154858641701779</v>
      </c>
      <c r="H11" s="8">
        <v>-20.515949415859239</v>
      </c>
    </row>
    <row r="12" spans="1:8" x14ac:dyDescent="0.25">
      <c r="A12" s="4" t="s">
        <v>41</v>
      </c>
      <c r="B12" s="4" t="s">
        <v>7</v>
      </c>
      <c r="C12" s="5">
        <v>1521331</v>
      </c>
      <c r="D12" s="5">
        <v>3939042</v>
      </c>
      <c r="E12" s="5">
        <v>2145113</v>
      </c>
      <c r="F12" s="11">
        <v>-1793929</v>
      </c>
      <c r="G12" s="9">
        <v>-45.542266368320007</v>
      </c>
      <c r="H12" s="9">
        <v>158.92077398015289</v>
      </c>
    </row>
    <row r="13" spans="1:8" x14ac:dyDescent="0.25">
      <c r="A13" s="2" t="s">
        <v>32</v>
      </c>
      <c r="B13" s="2" t="s">
        <v>7</v>
      </c>
      <c r="C13" s="3">
        <v>244189</v>
      </c>
      <c r="D13" s="3">
        <v>1446539</v>
      </c>
      <c r="E13" s="3">
        <v>172519</v>
      </c>
      <c r="F13" s="11">
        <v>-1274020</v>
      </c>
      <c r="G13" s="8">
        <v>-88.073671017511458</v>
      </c>
      <c r="H13" s="8">
        <v>492.3849968671808</v>
      </c>
    </row>
    <row r="14" spans="1:8" x14ac:dyDescent="0.25">
      <c r="A14" s="4" t="s">
        <v>28</v>
      </c>
      <c r="B14" s="4" t="s">
        <v>8</v>
      </c>
      <c r="C14" s="5">
        <v>34605569</v>
      </c>
      <c r="D14" s="5">
        <v>23465951</v>
      </c>
      <c r="E14" s="5">
        <v>22299319</v>
      </c>
      <c r="F14" s="11">
        <v>-1166632</v>
      </c>
      <c r="G14" s="9">
        <v>-4.9715948013357734</v>
      </c>
      <c r="H14" s="9">
        <v>-32.190246604527729</v>
      </c>
    </row>
    <row r="15" spans="1:8" x14ac:dyDescent="0.25">
      <c r="A15" s="2" t="s">
        <v>108</v>
      </c>
      <c r="B15" s="2" t="s">
        <v>8</v>
      </c>
      <c r="C15" s="3">
        <v>1165327</v>
      </c>
      <c r="D15" s="3">
        <v>1056510</v>
      </c>
      <c r="E15" s="3">
        <v>340513</v>
      </c>
      <c r="F15" s="11">
        <v>-715997</v>
      </c>
      <c r="G15" s="8">
        <v>-67.770016374667534</v>
      </c>
      <c r="H15" s="8">
        <v>-9.3378939988518237</v>
      </c>
    </row>
    <row r="16" spans="1:8" x14ac:dyDescent="0.25">
      <c r="A16" s="4" t="s">
        <v>39</v>
      </c>
      <c r="B16" s="4" t="s">
        <v>7</v>
      </c>
      <c r="C16" s="5">
        <v>3075653</v>
      </c>
      <c r="D16" s="5">
        <v>2773496</v>
      </c>
      <c r="E16" s="5">
        <v>2285299</v>
      </c>
      <c r="F16" s="11">
        <v>-488197</v>
      </c>
      <c r="G16" s="9">
        <v>-17.602224773354639</v>
      </c>
      <c r="H16" s="9">
        <v>-9.8241576666808648</v>
      </c>
    </row>
    <row r="17" spans="1:8" x14ac:dyDescent="0.25">
      <c r="A17" s="2" t="s">
        <v>109</v>
      </c>
      <c r="B17" s="2" t="s">
        <v>9</v>
      </c>
      <c r="C17" s="3">
        <v>1447721</v>
      </c>
      <c r="D17" s="3">
        <v>1686742</v>
      </c>
      <c r="E17" s="3">
        <v>1254789</v>
      </c>
      <c r="F17" s="11">
        <v>-431953</v>
      </c>
      <c r="G17" s="8">
        <v>-25.608717871494282</v>
      </c>
      <c r="H17" s="8">
        <v>16.510156307741621</v>
      </c>
    </row>
  </sheetData>
  <mergeCells count="1">
    <mergeCell ref="A1:H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7"/>
  <sheetViews>
    <sheetView workbookViewId="0">
      <pane ySplit="2" topLeftCell="A3" activePane="bottomLeft" state="frozen"/>
      <selection pane="bottomLeft" sqref="A1:G1"/>
    </sheetView>
  </sheetViews>
  <sheetFormatPr defaultRowHeight="15" x14ac:dyDescent="0.25"/>
  <cols>
    <col min="1" max="1" width="25.7109375" customWidth="1"/>
    <col min="2" max="4" width="18.7109375" customWidth="1"/>
    <col min="5" max="5" width="21.7109375" customWidth="1"/>
    <col min="6" max="6" width="18.7109375" customWidth="1"/>
    <col min="7" max="7" width="22.7109375" customWidth="1"/>
  </cols>
  <sheetData>
    <row r="1" spans="1:7" ht="20.100000000000001" customHeight="1" x14ac:dyDescent="0.25">
      <c r="A1" s="18" t="s">
        <v>121</v>
      </c>
      <c r="B1" s="18"/>
      <c r="C1" s="18"/>
      <c r="D1" s="18"/>
      <c r="E1" s="18"/>
      <c r="F1" s="18"/>
      <c r="G1" s="18"/>
    </row>
    <row r="2" spans="1:7" ht="38.1" customHeight="1" x14ac:dyDescent="0.25">
      <c r="A2" s="1" t="s">
        <v>43</v>
      </c>
      <c r="B2" s="1" t="s">
        <v>111</v>
      </c>
      <c r="C2" s="1" t="s">
        <v>112</v>
      </c>
      <c r="D2" s="1" t="s">
        <v>113</v>
      </c>
      <c r="E2" s="1" t="s">
        <v>114</v>
      </c>
      <c r="F2" s="1" t="s">
        <v>115</v>
      </c>
      <c r="G2" s="1" t="s">
        <v>116</v>
      </c>
    </row>
    <row r="3" spans="1:7" x14ac:dyDescent="0.25">
      <c r="A3" s="2" t="s">
        <v>46</v>
      </c>
      <c r="B3" s="3">
        <v>49851597</v>
      </c>
      <c r="C3" s="3">
        <v>71741137</v>
      </c>
      <c r="D3" s="10">
        <v>21889540</v>
      </c>
      <c r="E3" s="8">
        <v>43.909405750832818</v>
      </c>
      <c r="F3" s="3">
        <v>81852863</v>
      </c>
      <c r="G3" s="7">
        <v>-12.35353979004986</v>
      </c>
    </row>
    <row r="4" spans="1:7" x14ac:dyDescent="0.25">
      <c r="A4" s="4" t="s">
        <v>82</v>
      </c>
      <c r="B4" s="5">
        <v>5926791</v>
      </c>
      <c r="C4" s="5">
        <v>14787787</v>
      </c>
      <c r="D4" s="10">
        <v>8860996</v>
      </c>
      <c r="E4" s="9">
        <v>149.50748221086249</v>
      </c>
      <c r="F4" s="5">
        <v>7637338</v>
      </c>
      <c r="G4" s="6">
        <v>93.624886053229559</v>
      </c>
    </row>
    <row r="5" spans="1:7" x14ac:dyDescent="0.25">
      <c r="A5" s="2" t="s">
        <v>84</v>
      </c>
      <c r="B5" s="3">
        <v>9992375</v>
      </c>
      <c r="C5" s="3">
        <v>17629528</v>
      </c>
      <c r="D5" s="10">
        <v>7637153</v>
      </c>
      <c r="E5" s="8">
        <v>76.429807728392902</v>
      </c>
      <c r="F5" s="3">
        <v>10184988</v>
      </c>
      <c r="G5" s="6">
        <v>73.093262358286523</v>
      </c>
    </row>
    <row r="6" spans="1:7" x14ac:dyDescent="0.25">
      <c r="A6" s="4" t="s">
        <v>59</v>
      </c>
      <c r="B6" s="5">
        <v>13381688</v>
      </c>
      <c r="C6" s="5">
        <v>20201656</v>
      </c>
      <c r="D6" s="10">
        <v>6819968</v>
      </c>
      <c r="E6" s="9">
        <v>50.9649305827486</v>
      </c>
      <c r="F6" s="5">
        <v>8060848</v>
      </c>
      <c r="G6" s="6">
        <v>150.61452591588369</v>
      </c>
    </row>
    <row r="7" spans="1:7" x14ac:dyDescent="0.25">
      <c r="A7" s="2" t="s">
        <v>57</v>
      </c>
      <c r="B7" s="3">
        <v>15498104</v>
      </c>
      <c r="C7" s="3">
        <v>22301991</v>
      </c>
      <c r="D7" s="10">
        <v>6803887</v>
      </c>
      <c r="E7" s="8">
        <v>43.901415295703274</v>
      </c>
      <c r="F7" s="3">
        <v>11723458</v>
      </c>
      <c r="G7" s="6">
        <v>90.233896858759607</v>
      </c>
    </row>
    <row r="8" spans="1:7" x14ac:dyDescent="0.25">
      <c r="A8" s="4" t="s">
        <v>52</v>
      </c>
      <c r="B8" s="5">
        <v>22557078</v>
      </c>
      <c r="C8" s="5">
        <v>28764298</v>
      </c>
      <c r="D8" s="10">
        <v>6207220</v>
      </c>
      <c r="E8" s="9">
        <v>27.517837195048049</v>
      </c>
      <c r="F8" s="5">
        <v>25770132</v>
      </c>
      <c r="G8" s="6">
        <v>11.618745297851021</v>
      </c>
    </row>
    <row r="9" spans="1:7" x14ac:dyDescent="0.25">
      <c r="A9" s="2" t="s">
        <v>58</v>
      </c>
      <c r="B9" s="3">
        <v>19689369</v>
      </c>
      <c r="C9" s="3">
        <v>24154080</v>
      </c>
      <c r="D9" s="10">
        <v>4464711</v>
      </c>
      <c r="E9" s="8">
        <v>22.675744458849849</v>
      </c>
      <c r="F9" s="3">
        <v>16653478</v>
      </c>
      <c r="G9" s="6">
        <v>45.039252461257647</v>
      </c>
    </row>
    <row r="10" spans="1:7" x14ac:dyDescent="0.25">
      <c r="A10" s="4" t="s">
        <v>117</v>
      </c>
      <c r="B10" s="5">
        <v>4335842</v>
      </c>
      <c r="C10" s="5">
        <v>8462998</v>
      </c>
      <c r="D10" s="10">
        <v>4127156</v>
      </c>
      <c r="E10" s="9">
        <v>95.186955613235</v>
      </c>
      <c r="F10" s="5">
        <v>3672757</v>
      </c>
      <c r="G10" s="6">
        <v>130.42629828218969</v>
      </c>
    </row>
    <row r="11" spans="1:7" x14ac:dyDescent="0.25">
      <c r="A11" s="2" t="s">
        <v>51</v>
      </c>
      <c r="B11" s="3">
        <v>23493279</v>
      </c>
      <c r="C11" s="3">
        <v>27502061</v>
      </c>
      <c r="D11" s="10">
        <v>4008782</v>
      </c>
      <c r="E11" s="8">
        <v>17.063526977226129</v>
      </c>
      <c r="F11" s="3">
        <v>27516124</v>
      </c>
      <c r="G11" s="7">
        <v>-5.11082156774696E-2</v>
      </c>
    </row>
    <row r="12" spans="1:7" x14ac:dyDescent="0.25">
      <c r="A12" s="4" t="s">
        <v>85</v>
      </c>
      <c r="B12" s="5">
        <v>4080488</v>
      </c>
      <c r="C12" s="5">
        <v>7406577</v>
      </c>
      <c r="D12" s="10">
        <v>3326089</v>
      </c>
      <c r="E12" s="9">
        <v>81.512039736423674</v>
      </c>
      <c r="F12" s="5">
        <v>4249701</v>
      </c>
      <c r="G12" s="6">
        <v>74.284661438534144</v>
      </c>
    </row>
    <row r="13" spans="1:7" x14ac:dyDescent="0.25">
      <c r="A13" s="2" t="s">
        <v>118</v>
      </c>
      <c r="B13" s="3">
        <v>3471985</v>
      </c>
      <c r="C13" s="3">
        <v>6313253</v>
      </c>
      <c r="D13" s="10">
        <v>2841268</v>
      </c>
      <c r="E13" s="8">
        <v>81.834109306347813</v>
      </c>
      <c r="F13" s="3">
        <v>6841871</v>
      </c>
      <c r="G13" s="7">
        <v>-7.7262199184989013</v>
      </c>
    </row>
    <row r="14" spans="1:7" x14ac:dyDescent="0.25">
      <c r="A14" s="4" t="s">
        <v>119</v>
      </c>
      <c r="B14" s="5">
        <v>6286261</v>
      </c>
      <c r="C14" s="5">
        <v>9074300</v>
      </c>
      <c r="D14" s="10">
        <v>2788039</v>
      </c>
      <c r="E14" s="9">
        <v>44.351308353248463</v>
      </c>
      <c r="F14" s="5">
        <v>7020914</v>
      </c>
      <c r="G14" s="6">
        <v>29.246704916197519</v>
      </c>
    </row>
    <row r="15" spans="1:7" x14ac:dyDescent="0.25">
      <c r="A15" s="2" t="s">
        <v>81</v>
      </c>
      <c r="B15" s="3">
        <v>9512809</v>
      </c>
      <c r="C15" s="3">
        <v>11345757</v>
      </c>
      <c r="D15" s="10">
        <v>1832948</v>
      </c>
      <c r="E15" s="8">
        <v>19.268209842119191</v>
      </c>
      <c r="F15" s="3">
        <v>10323322</v>
      </c>
      <c r="G15" s="6">
        <v>9.9041277604244033</v>
      </c>
    </row>
    <row r="16" spans="1:7" x14ac:dyDescent="0.25">
      <c r="A16" s="4" t="s">
        <v>120</v>
      </c>
      <c r="B16" s="5">
        <v>5720635</v>
      </c>
      <c r="C16" s="5">
        <v>7255878</v>
      </c>
      <c r="D16" s="10">
        <v>1535243</v>
      </c>
      <c r="E16" s="9">
        <v>26.836933312473171</v>
      </c>
      <c r="F16" s="5">
        <v>4998177</v>
      </c>
      <c r="G16" s="6">
        <v>45.170489160347863</v>
      </c>
    </row>
    <row r="17" spans="1:7" x14ac:dyDescent="0.25">
      <c r="A17" s="2" t="s">
        <v>49</v>
      </c>
      <c r="B17" s="3">
        <v>28659060</v>
      </c>
      <c r="C17" s="3">
        <v>29967218</v>
      </c>
      <c r="D17" s="10">
        <v>1308158</v>
      </c>
      <c r="E17" s="8">
        <v>4.5645530593117849</v>
      </c>
      <c r="F17" s="3">
        <v>33401198</v>
      </c>
      <c r="G17" s="7">
        <v>-10.28100848358792</v>
      </c>
    </row>
  </sheetData>
  <mergeCells count="1">
    <mergeCell ref="A1:G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14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29.7109375" customWidth="1"/>
    <col min="2" max="2" width="7.7109375" customWidth="1"/>
    <col min="3" max="3" width="9.7109375" customWidth="1"/>
    <col min="4" max="4" width="12.7109375" customWidth="1"/>
    <col min="5" max="5" width="18.7109375" customWidth="1"/>
    <col min="6" max="6" width="9.7109375" customWidth="1"/>
    <col min="7" max="7" width="17.7109375" customWidth="1"/>
    <col min="8" max="8" width="19.7109375" customWidth="1"/>
    <col min="9" max="10" width="18.7109375" customWidth="1"/>
    <col min="11" max="11" width="15.7109375" customWidth="1"/>
    <col min="12" max="12" width="14.7109375" customWidth="1"/>
    <col min="13" max="13" width="18.7109375" customWidth="1"/>
  </cols>
  <sheetData>
    <row r="1" spans="1:13" ht="20.100000000000001" customHeight="1" x14ac:dyDescent="0.25">
      <c r="A1" s="18" t="s">
        <v>138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</row>
    <row r="2" spans="1:13" ht="38.1" customHeight="1" x14ac:dyDescent="0.25">
      <c r="A2" s="1" t="s">
        <v>122</v>
      </c>
      <c r="B2" s="1" t="s">
        <v>0</v>
      </c>
      <c r="C2" s="1" t="s">
        <v>123</v>
      </c>
      <c r="D2" s="1" t="s">
        <v>124</v>
      </c>
      <c r="E2" s="1" t="s">
        <v>125</v>
      </c>
      <c r="F2" s="1" t="s">
        <v>126</v>
      </c>
      <c r="G2" s="1" t="s">
        <v>127</v>
      </c>
      <c r="H2" s="1" t="s">
        <v>128</v>
      </c>
      <c r="I2" s="1" t="s">
        <v>129</v>
      </c>
      <c r="J2" s="1" t="s">
        <v>130</v>
      </c>
      <c r="K2" s="1" t="s">
        <v>131</v>
      </c>
      <c r="L2" s="1" t="s">
        <v>132</v>
      </c>
      <c r="M2" s="1" t="s">
        <v>133</v>
      </c>
    </row>
    <row r="3" spans="1:13" x14ac:dyDescent="0.25">
      <c r="A3" s="2" t="s">
        <v>134</v>
      </c>
      <c r="B3" s="2">
        <v>2023</v>
      </c>
      <c r="C3" s="12">
        <v>0.94189999999999996</v>
      </c>
      <c r="D3" s="2">
        <v>48</v>
      </c>
      <c r="E3" s="3">
        <v>42129153</v>
      </c>
      <c r="F3" s="3">
        <v>4305</v>
      </c>
      <c r="G3" s="2" t="s">
        <v>48</v>
      </c>
      <c r="H3" s="8">
        <v>56</v>
      </c>
      <c r="I3" s="8">
        <v>93.7</v>
      </c>
      <c r="J3" s="8">
        <v>96.8</v>
      </c>
      <c r="K3" s="2"/>
      <c r="L3" s="2"/>
      <c r="M3" s="2"/>
    </row>
    <row r="4" spans="1:13" x14ac:dyDescent="0.25">
      <c r="A4" s="4" t="s">
        <v>134</v>
      </c>
      <c r="B4" s="4">
        <v>2024</v>
      </c>
      <c r="C4" s="13">
        <v>0.93130000000000002</v>
      </c>
      <c r="D4" s="4">
        <v>42</v>
      </c>
      <c r="E4" s="5">
        <v>50718988</v>
      </c>
      <c r="F4" s="5">
        <v>4082</v>
      </c>
      <c r="G4" s="4" t="s">
        <v>48</v>
      </c>
      <c r="H4" s="9">
        <v>50.3</v>
      </c>
      <c r="I4" s="9">
        <v>93</v>
      </c>
      <c r="J4" s="9">
        <v>97</v>
      </c>
      <c r="K4" s="7">
        <v>-1.06E-2</v>
      </c>
      <c r="L4" s="7">
        <v>-223</v>
      </c>
      <c r="M4" s="6">
        <v>20.399999999999999</v>
      </c>
    </row>
    <row r="5" spans="1:13" x14ac:dyDescent="0.25">
      <c r="A5" s="2" t="s">
        <v>134</v>
      </c>
      <c r="B5" s="2">
        <v>2025</v>
      </c>
      <c r="C5" s="12">
        <v>0.93630000000000002</v>
      </c>
      <c r="D5" s="2">
        <v>47</v>
      </c>
      <c r="E5" s="3">
        <v>49021632</v>
      </c>
      <c r="F5" s="3">
        <v>4068</v>
      </c>
      <c r="G5" s="2" t="s">
        <v>58</v>
      </c>
      <c r="H5" s="8">
        <v>46.9</v>
      </c>
      <c r="I5" s="8">
        <v>92.7</v>
      </c>
      <c r="J5" s="8">
        <v>96.1</v>
      </c>
      <c r="K5" s="6">
        <v>5.0000000000000001E-3</v>
      </c>
      <c r="L5" s="7">
        <v>-14</v>
      </c>
      <c r="M5" s="7">
        <v>-3.3</v>
      </c>
    </row>
    <row r="6" spans="1:13" x14ac:dyDescent="0.25">
      <c r="A6" s="4" t="s">
        <v>135</v>
      </c>
      <c r="B6" s="4">
        <v>2023</v>
      </c>
      <c r="C6" s="13">
        <v>0.89370000000000005</v>
      </c>
      <c r="D6" s="4">
        <v>127</v>
      </c>
      <c r="E6" s="5">
        <v>1109375093</v>
      </c>
      <c r="F6" s="5">
        <v>2758</v>
      </c>
      <c r="G6" s="4" t="s">
        <v>45</v>
      </c>
      <c r="H6" s="9">
        <v>50.6</v>
      </c>
      <c r="I6" s="9">
        <v>65.8</v>
      </c>
      <c r="J6" s="9">
        <v>72.3</v>
      </c>
      <c r="K6" s="4"/>
      <c r="L6" s="4"/>
      <c r="M6" s="4"/>
    </row>
    <row r="7" spans="1:13" x14ac:dyDescent="0.25">
      <c r="A7" s="2" t="s">
        <v>135</v>
      </c>
      <c r="B7" s="2">
        <v>2024</v>
      </c>
      <c r="C7" s="12">
        <v>0.89549999999999996</v>
      </c>
      <c r="D7" s="2">
        <v>131</v>
      </c>
      <c r="E7" s="3">
        <v>1298661200</v>
      </c>
      <c r="F7" s="3">
        <v>2695</v>
      </c>
      <c r="G7" s="2" t="s">
        <v>45</v>
      </c>
      <c r="H7" s="8">
        <v>50.1</v>
      </c>
      <c r="I7" s="8">
        <v>65.400000000000006</v>
      </c>
      <c r="J7" s="8">
        <v>71.5</v>
      </c>
      <c r="K7" s="6">
        <v>1.8E-3</v>
      </c>
      <c r="L7" s="7">
        <v>-63</v>
      </c>
      <c r="M7" s="6">
        <v>17.100000000000001</v>
      </c>
    </row>
    <row r="8" spans="1:13" x14ac:dyDescent="0.25">
      <c r="A8" s="4" t="s">
        <v>135</v>
      </c>
      <c r="B8" s="4">
        <v>2025</v>
      </c>
      <c r="C8" s="13">
        <v>0.85909999999999997</v>
      </c>
      <c r="D8" s="4">
        <v>126</v>
      </c>
      <c r="E8" s="5">
        <v>1172015840</v>
      </c>
      <c r="F8" s="5">
        <v>1929</v>
      </c>
      <c r="G8" s="4" t="s">
        <v>45</v>
      </c>
      <c r="H8" s="9">
        <v>42.1</v>
      </c>
      <c r="I8" s="9">
        <v>54.2</v>
      </c>
      <c r="J8" s="9">
        <v>61.1</v>
      </c>
      <c r="K8" s="7">
        <v>-3.6400000000000002E-2</v>
      </c>
      <c r="L8" s="7">
        <v>-766</v>
      </c>
      <c r="M8" s="7">
        <v>-9.8000000000000007</v>
      </c>
    </row>
    <row r="9" spans="1:13" x14ac:dyDescent="0.25">
      <c r="A9" s="2" t="s">
        <v>136</v>
      </c>
      <c r="B9" s="2">
        <v>2023</v>
      </c>
      <c r="C9" s="12">
        <v>0.90800000000000003</v>
      </c>
      <c r="D9" s="2">
        <v>102</v>
      </c>
      <c r="E9" s="3">
        <v>253109987</v>
      </c>
      <c r="F9" s="3">
        <v>2513</v>
      </c>
      <c r="G9" s="2" t="s">
        <v>45</v>
      </c>
      <c r="H9" s="8">
        <v>47.6</v>
      </c>
      <c r="I9" s="8">
        <v>64.599999999999994</v>
      </c>
      <c r="J9" s="8">
        <v>75</v>
      </c>
      <c r="K9" s="2"/>
      <c r="L9" s="2"/>
      <c r="M9" s="2"/>
    </row>
    <row r="10" spans="1:13" x14ac:dyDescent="0.25">
      <c r="A10" s="4" t="s">
        <v>136</v>
      </c>
      <c r="B10" s="4">
        <v>2024</v>
      </c>
      <c r="C10" s="13">
        <v>0.90559999999999996</v>
      </c>
      <c r="D10" s="4">
        <v>106</v>
      </c>
      <c r="E10" s="5">
        <v>251532828</v>
      </c>
      <c r="F10" s="5">
        <v>2362</v>
      </c>
      <c r="G10" s="4" t="s">
        <v>45</v>
      </c>
      <c r="H10" s="9">
        <v>45.7</v>
      </c>
      <c r="I10" s="9">
        <v>64.5</v>
      </c>
      <c r="J10" s="9">
        <v>75.599999999999994</v>
      </c>
      <c r="K10" s="7">
        <v>-2.3999999999999998E-3</v>
      </c>
      <c r="L10" s="7">
        <v>-151</v>
      </c>
      <c r="M10" s="7">
        <v>-0.6</v>
      </c>
    </row>
    <row r="11" spans="1:13" x14ac:dyDescent="0.25">
      <c r="A11" s="2" t="s">
        <v>136</v>
      </c>
      <c r="B11" s="2">
        <v>2025</v>
      </c>
      <c r="C11" s="12">
        <v>0.89529999999999998</v>
      </c>
      <c r="D11" s="2">
        <v>105</v>
      </c>
      <c r="E11" s="3">
        <v>253193453</v>
      </c>
      <c r="F11" s="3">
        <v>1877</v>
      </c>
      <c r="G11" s="2" t="s">
        <v>45</v>
      </c>
      <c r="H11" s="8">
        <v>39.799999999999997</v>
      </c>
      <c r="I11" s="8">
        <v>57.9</v>
      </c>
      <c r="J11" s="8">
        <v>69.8</v>
      </c>
      <c r="K11" s="7">
        <v>-1.03E-2</v>
      </c>
      <c r="L11" s="7">
        <v>-485</v>
      </c>
      <c r="M11" s="6">
        <v>0.7</v>
      </c>
    </row>
    <row r="12" spans="1:13" x14ac:dyDescent="0.25">
      <c r="A12" s="4" t="s">
        <v>137</v>
      </c>
      <c r="B12" s="4">
        <v>2023</v>
      </c>
      <c r="C12" s="13">
        <v>0.87280000000000002</v>
      </c>
      <c r="D12" s="4">
        <v>100</v>
      </c>
      <c r="E12" s="5">
        <v>349294927</v>
      </c>
      <c r="F12" s="5">
        <v>1040</v>
      </c>
      <c r="G12" s="4" t="s">
        <v>47</v>
      </c>
      <c r="H12" s="9">
        <v>24.1</v>
      </c>
      <c r="I12" s="9">
        <v>44.4</v>
      </c>
      <c r="J12" s="9">
        <v>59.3</v>
      </c>
      <c r="K12" s="4"/>
      <c r="L12" s="4"/>
      <c r="M12" s="4"/>
    </row>
    <row r="13" spans="1:13" x14ac:dyDescent="0.25">
      <c r="A13" s="2" t="s">
        <v>137</v>
      </c>
      <c r="B13" s="2">
        <v>2024</v>
      </c>
      <c r="C13" s="12">
        <v>0.85750000000000004</v>
      </c>
      <c r="D13" s="2">
        <v>105</v>
      </c>
      <c r="E13" s="3">
        <v>330873864</v>
      </c>
      <c r="F13" s="3">
        <v>1059</v>
      </c>
      <c r="G13" s="2" t="s">
        <v>47</v>
      </c>
      <c r="H13" s="8">
        <v>26</v>
      </c>
      <c r="I13" s="8">
        <v>44.9</v>
      </c>
      <c r="J13" s="8">
        <v>59.4</v>
      </c>
      <c r="K13" s="7">
        <v>-1.5299999999999999E-2</v>
      </c>
      <c r="L13" s="6">
        <v>19</v>
      </c>
      <c r="M13" s="7">
        <v>-5.3</v>
      </c>
    </row>
    <row r="14" spans="1:13" x14ac:dyDescent="0.25">
      <c r="A14" s="4" t="s">
        <v>137</v>
      </c>
      <c r="B14" s="4">
        <v>2025</v>
      </c>
      <c r="C14" s="13">
        <v>0.86870000000000003</v>
      </c>
      <c r="D14" s="4">
        <v>105</v>
      </c>
      <c r="E14" s="5">
        <v>371136784</v>
      </c>
      <c r="F14" s="5">
        <v>1118</v>
      </c>
      <c r="G14" s="4" t="s">
        <v>47</v>
      </c>
      <c r="H14" s="9">
        <v>27.4</v>
      </c>
      <c r="I14" s="9">
        <v>45.4</v>
      </c>
      <c r="J14" s="9">
        <v>58</v>
      </c>
      <c r="K14" s="6">
        <v>1.12E-2</v>
      </c>
      <c r="L14" s="6">
        <v>59</v>
      </c>
      <c r="M14" s="6">
        <v>12.2</v>
      </c>
    </row>
  </sheetData>
  <mergeCells count="1">
    <mergeCell ref="A1:M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22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29.7109375" customWidth="1"/>
    <col min="2" max="3" width="7.7109375" customWidth="1"/>
    <col min="4" max="4" width="26.7109375" customWidth="1"/>
    <col min="5" max="5" width="18.7109375" customWidth="1"/>
    <col min="6" max="6" width="12.7109375" customWidth="1"/>
    <col min="7" max="7" width="22.7109375" customWidth="1"/>
  </cols>
  <sheetData>
    <row r="1" spans="1:7" ht="20.100000000000001" customHeight="1" x14ac:dyDescent="0.25">
      <c r="A1" s="18" t="s">
        <v>151</v>
      </c>
      <c r="B1" s="18"/>
      <c r="C1" s="18"/>
      <c r="D1" s="18"/>
      <c r="E1" s="18"/>
      <c r="F1" s="18"/>
      <c r="G1" s="18"/>
    </row>
    <row r="2" spans="1:7" ht="38.1" customHeight="1" x14ac:dyDescent="0.25">
      <c r="A2" s="1" t="s">
        <v>122</v>
      </c>
      <c r="B2" s="1" t="s">
        <v>0</v>
      </c>
      <c r="C2" s="1" t="s">
        <v>139</v>
      </c>
      <c r="D2" s="1" t="s">
        <v>43</v>
      </c>
      <c r="E2" s="1" t="s">
        <v>125</v>
      </c>
      <c r="F2" s="1" t="s">
        <v>140</v>
      </c>
      <c r="G2" s="1" t="s">
        <v>141</v>
      </c>
    </row>
    <row r="3" spans="1:7" x14ac:dyDescent="0.25">
      <c r="A3" s="2" t="s">
        <v>135</v>
      </c>
      <c r="B3" s="2">
        <v>2023</v>
      </c>
      <c r="C3" s="2">
        <v>1</v>
      </c>
      <c r="D3" s="2" t="s">
        <v>45</v>
      </c>
      <c r="E3" s="3">
        <v>561872652</v>
      </c>
      <c r="F3" s="8">
        <v>50.6</v>
      </c>
      <c r="G3" s="8">
        <v>50.6</v>
      </c>
    </row>
    <row r="4" spans="1:7" x14ac:dyDescent="0.25">
      <c r="A4" s="4" t="s">
        <v>135</v>
      </c>
      <c r="B4" s="4">
        <v>2023</v>
      </c>
      <c r="C4" s="4">
        <v>2</v>
      </c>
      <c r="D4" s="4" t="s">
        <v>46</v>
      </c>
      <c r="E4" s="5">
        <v>127944516</v>
      </c>
      <c r="F4" s="9">
        <v>11.5</v>
      </c>
      <c r="G4" s="9">
        <v>62.2</v>
      </c>
    </row>
    <row r="5" spans="1:7" x14ac:dyDescent="0.25">
      <c r="A5" s="2" t="s">
        <v>135</v>
      </c>
      <c r="B5" s="2">
        <v>2023</v>
      </c>
      <c r="C5" s="2">
        <v>3</v>
      </c>
      <c r="D5" s="2" t="s">
        <v>49</v>
      </c>
      <c r="E5" s="3">
        <v>39836286</v>
      </c>
      <c r="F5" s="8">
        <v>3.6</v>
      </c>
      <c r="G5" s="8">
        <v>65.8</v>
      </c>
    </row>
    <row r="6" spans="1:7" x14ac:dyDescent="0.25">
      <c r="A6" s="4" t="s">
        <v>135</v>
      </c>
      <c r="B6" s="4">
        <v>2023</v>
      </c>
      <c r="C6" s="4">
        <v>4</v>
      </c>
      <c r="D6" s="4" t="s">
        <v>48</v>
      </c>
      <c r="E6" s="5">
        <v>38738623</v>
      </c>
      <c r="F6" s="9">
        <v>3.5</v>
      </c>
      <c r="G6" s="9">
        <v>69.3</v>
      </c>
    </row>
    <row r="7" spans="1:7" x14ac:dyDescent="0.25">
      <c r="A7" s="2" t="s">
        <v>135</v>
      </c>
      <c r="B7" s="2">
        <v>2023</v>
      </c>
      <c r="C7" s="2">
        <v>5</v>
      </c>
      <c r="D7" s="2" t="s">
        <v>53</v>
      </c>
      <c r="E7" s="3">
        <v>33628134</v>
      </c>
      <c r="F7" s="8">
        <v>3</v>
      </c>
      <c r="G7" s="8">
        <v>72.3</v>
      </c>
    </row>
    <row r="8" spans="1:7" x14ac:dyDescent="0.25">
      <c r="A8" s="4" t="s">
        <v>135</v>
      </c>
      <c r="B8" s="4">
        <v>2023</v>
      </c>
      <c r="C8" s="4">
        <v>6</v>
      </c>
      <c r="D8" s="4" t="s">
        <v>54</v>
      </c>
      <c r="E8" s="5">
        <v>23735213</v>
      </c>
      <c r="F8" s="9">
        <v>2.1</v>
      </c>
      <c r="G8" s="9">
        <v>74.400000000000006</v>
      </c>
    </row>
    <row r="9" spans="1:7" x14ac:dyDescent="0.25">
      <c r="A9" s="2" t="s">
        <v>135</v>
      </c>
      <c r="B9" s="2">
        <v>2023</v>
      </c>
      <c r="C9" s="2">
        <v>7</v>
      </c>
      <c r="D9" s="2" t="s">
        <v>57</v>
      </c>
      <c r="E9" s="3">
        <v>20716125</v>
      </c>
      <c r="F9" s="8">
        <v>1.9</v>
      </c>
      <c r="G9" s="8">
        <v>76.3</v>
      </c>
    </row>
    <row r="10" spans="1:7" x14ac:dyDescent="0.25">
      <c r="A10" s="4" t="s">
        <v>135</v>
      </c>
      <c r="B10" s="4">
        <v>2023</v>
      </c>
      <c r="C10" s="4">
        <v>8</v>
      </c>
      <c r="D10" s="4" t="s">
        <v>142</v>
      </c>
      <c r="E10" s="5">
        <v>19191432</v>
      </c>
      <c r="F10" s="9">
        <v>1.7</v>
      </c>
      <c r="G10" s="9">
        <v>78</v>
      </c>
    </row>
    <row r="11" spans="1:7" x14ac:dyDescent="0.25">
      <c r="A11" s="2" t="s">
        <v>135</v>
      </c>
      <c r="B11" s="2">
        <v>2023</v>
      </c>
      <c r="C11" s="2">
        <v>9</v>
      </c>
      <c r="D11" s="2" t="s">
        <v>56</v>
      </c>
      <c r="E11" s="3">
        <v>17244158</v>
      </c>
      <c r="F11" s="8">
        <v>1.6</v>
      </c>
      <c r="G11" s="8">
        <v>79.599999999999994</v>
      </c>
    </row>
    <row r="12" spans="1:7" x14ac:dyDescent="0.25">
      <c r="A12" s="4" t="s">
        <v>135</v>
      </c>
      <c r="B12" s="4">
        <v>2023</v>
      </c>
      <c r="C12" s="4">
        <v>10</v>
      </c>
      <c r="D12" s="4" t="s">
        <v>55</v>
      </c>
      <c r="E12" s="5">
        <v>16749853</v>
      </c>
      <c r="F12" s="9">
        <v>1.5</v>
      </c>
      <c r="G12" s="9">
        <v>81.099999999999994</v>
      </c>
    </row>
    <row r="13" spans="1:7" x14ac:dyDescent="0.25">
      <c r="A13" s="2" t="s">
        <v>135</v>
      </c>
      <c r="B13" s="2">
        <v>2024</v>
      </c>
      <c r="C13" s="2">
        <v>1</v>
      </c>
      <c r="D13" s="2" t="s">
        <v>45</v>
      </c>
      <c r="E13" s="3">
        <v>650820240</v>
      </c>
      <c r="F13" s="8">
        <v>50.1</v>
      </c>
      <c r="G13" s="8">
        <v>50.1</v>
      </c>
    </row>
    <row r="14" spans="1:7" x14ac:dyDescent="0.25">
      <c r="A14" s="4" t="s">
        <v>135</v>
      </c>
      <c r="B14" s="4">
        <v>2024</v>
      </c>
      <c r="C14" s="4">
        <v>2</v>
      </c>
      <c r="D14" s="4" t="s">
        <v>46</v>
      </c>
      <c r="E14" s="5">
        <v>141664724</v>
      </c>
      <c r="F14" s="9">
        <v>10.9</v>
      </c>
      <c r="G14" s="9">
        <v>61</v>
      </c>
    </row>
    <row r="15" spans="1:7" x14ac:dyDescent="0.25">
      <c r="A15" s="2" t="s">
        <v>135</v>
      </c>
      <c r="B15" s="2">
        <v>2024</v>
      </c>
      <c r="C15" s="2">
        <v>3</v>
      </c>
      <c r="D15" s="2" t="s">
        <v>48</v>
      </c>
      <c r="E15" s="3">
        <v>56690689</v>
      </c>
      <c r="F15" s="8">
        <v>4.4000000000000004</v>
      </c>
      <c r="G15" s="8">
        <v>65.400000000000006</v>
      </c>
    </row>
    <row r="16" spans="1:7" x14ac:dyDescent="0.25">
      <c r="A16" s="4" t="s">
        <v>135</v>
      </c>
      <c r="B16" s="4">
        <v>2024</v>
      </c>
      <c r="C16" s="4">
        <v>4</v>
      </c>
      <c r="D16" s="4" t="s">
        <v>49</v>
      </c>
      <c r="E16" s="5">
        <v>43710967</v>
      </c>
      <c r="F16" s="9">
        <v>3.4</v>
      </c>
      <c r="G16" s="9">
        <v>68.8</v>
      </c>
    </row>
    <row r="17" spans="1:7" x14ac:dyDescent="0.25">
      <c r="A17" s="2" t="s">
        <v>135</v>
      </c>
      <c r="B17" s="2">
        <v>2024</v>
      </c>
      <c r="C17" s="2">
        <v>5</v>
      </c>
      <c r="D17" s="2" t="s">
        <v>53</v>
      </c>
      <c r="E17" s="3">
        <v>35697231</v>
      </c>
      <c r="F17" s="8">
        <v>2.7</v>
      </c>
      <c r="G17" s="8">
        <v>71.5</v>
      </c>
    </row>
    <row r="18" spans="1:7" x14ac:dyDescent="0.25">
      <c r="A18" s="4" t="s">
        <v>135</v>
      </c>
      <c r="B18" s="4">
        <v>2024</v>
      </c>
      <c r="C18" s="4">
        <v>6</v>
      </c>
      <c r="D18" s="4" t="s">
        <v>142</v>
      </c>
      <c r="E18" s="5">
        <v>28347247</v>
      </c>
      <c r="F18" s="9">
        <v>2.2000000000000002</v>
      </c>
      <c r="G18" s="9">
        <v>73.7</v>
      </c>
    </row>
    <row r="19" spans="1:7" x14ac:dyDescent="0.25">
      <c r="A19" s="2" t="s">
        <v>135</v>
      </c>
      <c r="B19" s="2">
        <v>2024</v>
      </c>
      <c r="C19" s="2">
        <v>7</v>
      </c>
      <c r="D19" s="2" t="s">
        <v>54</v>
      </c>
      <c r="E19" s="3">
        <v>24649076</v>
      </c>
      <c r="F19" s="8">
        <v>1.9</v>
      </c>
      <c r="G19" s="8">
        <v>75.599999999999994</v>
      </c>
    </row>
    <row r="20" spans="1:7" x14ac:dyDescent="0.25">
      <c r="A20" s="4" t="s">
        <v>135</v>
      </c>
      <c r="B20" s="4">
        <v>2024</v>
      </c>
      <c r="C20" s="4">
        <v>8</v>
      </c>
      <c r="D20" s="4" t="s">
        <v>56</v>
      </c>
      <c r="E20" s="5">
        <v>20236535</v>
      </c>
      <c r="F20" s="9">
        <v>1.6</v>
      </c>
      <c r="G20" s="9">
        <v>77.099999999999994</v>
      </c>
    </row>
    <row r="21" spans="1:7" x14ac:dyDescent="0.25">
      <c r="A21" s="2" t="s">
        <v>135</v>
      </c>
      <c r="B21" s="2">
        <v>2024</v>
      </c>
      <c r="C21" s="2">
        <v>9</v>
      </c>
      <c r="D21" s="2" t="s">
        <v>57</v>
      </c>
      <c r="E21" s="3">
        <v>19003129</v>
      </c>
      <c r="F21" s="8">
        <v>1.5</v>
      </c>
      <c r="G21" s="8">
        <v>78.599999999999994</v>
      </c>
    </row>
    <row r="22" spans="1:7" x14ac:dyDescent="0.25">
      <c r="A22" s="4" t="s">
        <v>135</v>
      </c>
      <c r="B22" s="4">
        <v>2024</v>
      </c>
      <c r="C22" s="4">
        <v>10</v>
      </c>
      <c r="D22" s="4" t="s">
        <v>84</v>
      </c>
      <c r="E22" s="5">
        <v>18521929</v>
      </c>
      <c r="F22" s="9">
        <v>1.4</v>
      </c>
      <c r="G22" s="9">
        <v>80</v>
      </c>
    </row>
    <row r="23" spans="1:7" x14ac:dyDescent="0.25">
      <c r="A23" s="2" t="s">
        <v>135</v>
      </c>
      <c r="B23" s="2">
        <v>2025</v>
      </c>
      <c r="C23" s="2">
        <v>1</v>
      </c>
      <c r="D23" s="2" t="s">
        <v>45</v>
      </c>
      <c r="E23" s="3">
        <v>493111088</v>
      </c>
      <c r="F23" s="8">
        <v>42.1</v>
      </c>
      <c r="G23" s="8">
        <v>42.1</v>
      </c>
    </row>
    <row r="24" spans="1:7" x14ac:dyDescent="0.25">
      <c r="A24" s="4" t="s">
        <v>135</v>
      </c>
      <c r="B24" s="4">
        <v>2025</v>
      </c>
      <c r="C24" s="4">
        <v>2</v>
      </c>
      <c r="D24" s="4" t="s">
        <v>46</v>
      </c>
      <c r="E24" s="5">
        <v>97238184</v>
      </c>
      <c r="F24" s="9">
        <v>8.3000000000000007</v>
      </c>
      <c r="G24" s="9">
        <v>50.4</v>
      </c>
    </row>
    <row r="25" spans="1:7" x14ac:dyDescent="0.25">
      <c r="A25" s="2" t="s">
        <v>135</v>
      </c>
      <c r="B25" s="2">
        <v>2025</v>
      </c>
      <c r="C25" s="2">
        <v>3</v>
      </c>
      <c r="D25" s="2" t="s">
        <v>53</v>
      </c>
      <c r="E25" s="3">
        <v>45377727</v>
      </c>
      <c r="F25" s="8">
        <v>3.9</v>
      </c>
      <c r="G25" s="8">
        <v>54.2</v>
      </c>
    </row>
    <row r="26" spans="1:7" x14ac:dyDescent="0.25">
      <c r="A26" s="4" t="s">
        <v>135</v>
      </c>
      <c r="B26" s="4">
        <v>2025</v>
      </c>
      <c r="C26" s="4">
        <v>4</v>
      </c>
      <c r="D26" s="4" t="s">
        <v>48</v>
      </c>
      <c r="E26" s="5">
        <v>44224207</v>
      </c>
      <c r="F26" s="9">
        <v>3.8</v>
      </c>
      <c r="G26" s="9">
        <v>58</v>
      </c>
    </row>
    <row r="27" spans="1:7" x14ac:dyDescent="0.25">
      <c r="A27" s="2" t="s">
        <v>135</v>
      </c>
      <c r="B27" s="2">
        <v>2025</v>
      </c>
      <c r="C27" s="2">
        <v>5</v>
      </c>
      <c r="D27" s="2" t="s">
        <v>57</v>
      </c>
      <c r="E27" s="3">
        <v>36026669</v>
      </c>
      <c r="F27" s="8">
        <v>3.1</v>
      </c>
      <c r="G27" s="8">
        <v>61.1</v>
      </c>
    </row>
    <row r="28" spans="1:7" x14ac:dyDescent="0.25">
      <c r="A28" s="4" t="s">
        <v>135</v>
      </c>
      <c r="B28" s="4">
        <v>2025</v>
      </c>
      <c r="C28" s="4">
        <v>6</v>
      </c>
      <c r="D28" s="4" t="s">
        <v>54</v>
      </c>
      <c r="E28" s="5">
        <v>35011994</v>
      </c>
      <c r="F28" s="9">
        <v>3</v>
      </c>
      <c r="G28" s="9">
        <v>64.099999999999994</v>
      </c>
    </row>
    <row r="29" spans="1:7" x14ac:dyDescent="0.25">
      <c r="A29" s="2" t="s">
        <v>135</v>
      </c>
      <c r="B29" s="2">
        <v>2025</v>
      </c>
      <c r="C29" s="2">
        <v>7</v>
      </c>
      <c r="D29" s="2" t="s">
        <v>49</v>
      </c>
      <c r="E29" s="3">
        <v>34293753</v>
      </c>
      <c r="F29" s="8">
        <v>2.9</v>
      </c>
      <c r="G29" s="8">
        <v>67</v>
      </c>
    </row>
    <row r="30" spans="1:7" x14ac:dyDescent="0.25">
      <c r="A30" s="4" t="s">
        <v>135</v>
      </c>
      <c r="B30" s="4">
        <v>2025</v>
      </c>
      <c r="C30" s="4">
        <v>8</v>
      </c>
      <c r="D30" s="4" t="s">
        <v>84</v>
      </c>
      <c r="E30" s="5">
        <v>25295926</v>
      </c>
      <c r="F30" s="9">
        <v>2.2000000000000002</v>
      </c>
      <c r="G30" s="9">
        <v>69.2</v>
      </c>
    </row>
    <row r="31" spans="1:7" x14ac:dyDescent="0.25">
      <c r="A31" s="2" t="s">
        <v>135</v>
      </c>
      <c r="B31" s="2">
        <v>2025</v>
      </c>
      <c r="C31" s="2">
        <v>9</v>
      </c>
      <c r="D31" s="2" t="s">
        <v>142</v>
      </c>
      <c r="E31" s="3">
        <v>24984201</v>
      </c>
      <c r="F31" s="8">
        <v>2.1</v>
      </c>
      <c r="G31" s="8">
        <v>71.3</v>
      </c>
    </row>
    <row r="32" spans="1:7" x14ac:dyDescent="0.25">
      <c r="A32" s="4" t="s">
        <v>135</v>
      </c>
      <c r="B32" s="4">
        <v>2025</v>
      </c>
      <c r="C32" s="4">
        <v>10</v>
      </c>
      <c r="D32" s="4" t="s">
        <v>59</v>
      </c>
      <c r="E32" s="5">
        <v>24202426</v>
      </c>
      <c r="F32" s="9">
        <v>2.1</v>
      </c>
      <c r="G32" s="9">
        <v>73.400000000000006</v>
      </c>
    </row>
    <row r="33" spans="1:7" x14ac:dyDescent="0.25">
      <c r="A33" s="2" t="s">
        <v>136</v>
      </c>
      <c r="B33" s="2">
        <v>2023</v>
      </c>
      <c r="C33" s="2">
        <v>1</v>
      </c>
      <c r="D33" s="2" t="s">
        <v>45</v>
      </c>
      <c r="E33" s="3">
        <v>120580439</v>
      </c>
      <c r="F33" s="8">
        <v>47.6</v>
      </c>
      <c r="G33" s="8">
        <v>47.6</v>
      </c>
    </row>
    <row r="34" spans="1:7" x14ac:dyDescent="0.25">
      <c r="A34" s="4" t="s">
        <v>136</v>
      </c>
      <c r="B34" s="4">
        <v>2023</v>
      </c>
      <c r="C34" s="4">
        <v>2</v>
      </c>
      <c r="D34" s="4" t="s">
        <v>49</v>
      </c>
      <c r="E34" s="5">
        <v>24847262</v>
      </c>
      <c r="F34" s="9">
        <v>9.8000000000000007</v>
      </c>
      <c r="G34" s="9">
        <v>57.5</v>
      </c>
    </row>
    <row r="35" spans="1:7" x14ac:dyDescent="0.25">
      <c r="A35" s="2" t="s">
        <v>136</v>
      </c>
      <c r="B35" s="2">
        <v>2023</v>
      </c>
      <c r="C35" s="2">
        <v>3</v>
      </c>
      <c r="D35" s="2" t="s">
        <v>51</v>
      </c>
      <c r="E35" s="3">
        <v>18196033</v>
      </c>
      <c r="F35" s="8">
        <v>7.2</v>
      </c>
      <c r="G35" s="8">
        <v>64.599999999999994</v>
      </c>
    </row>
    <row r="36" spans="1:7" x14ac:dyDescent="0.25">
      <c r="A36" s="4" t="s">
        <v>136</v>
      </c>
      <c r="B36" s="4">
        <v>2023</v>
      </c>
      <c r="C36" s="4">
        <v>4</v>
      </c>
      <c r="D36" s="4" t="s">
        <v>55</v>
      </c>
      <c r="E36" s="5">
        <v>16444173</v>
      </c>
      <c r="F36" s="9">
        <v>6.5</v>
      </c>
      <c r="G36" s="9">
        <v>71.099999999999994</v>
      </c>
    </row>
    <row r="37" spans="1:7" x14ac:dyDescent="0.25">
      <c r="A37" s="2" t="s">
        <v>136</v>
      </c>
      <c r="B37" s="2">
        <v>2023</v>
      </c>
      <c r="C37" s="2">
        <v>5</v>
      </c>
      <c r="D37" s="2" t="s">
        <v>143</v>
      </c>
      <c r="E37" s="3">
        <v>9863110</v>
      </c>
      <c r="F37" s="8">
        <v>3.9</v>
      </c>
      <c r="G37" s="8">
        <v>75</v>
      </c>
    </row>
    <row r="38" spans="1:7" x14ac:dyDescent="0.25">
      <c r="A38" s="4" t="s">
        <v>136</v>
      </c>
      <c r="B38" s="4">
        <v>2023</v>
      </c>
      <c r="C38" s="4">
        <v>6</v>
      </c>
      <c r="D38" s="4" t="s">
        <v>56</v>
      </c>
      <c r="E38" s="5">
        <v>8121849</v>
      </c>
      <c r="F38" s="9">
        <v>3.2</v>
      </c>
      <c r="G38" s="9">
        <v>78.2</v>
      </c>
    </row>
    <row r="39" spans="1:7" x14ac:dyDescent="0.25">
      <c r="A39" s="2" t="s">
        <v>136</v>
      </c>
      <c r="B39" s="2">
        <v>2023</v>
      </c>
      <c r="C39" s="2">
        <v>7</v>
      </c>
      <c r="D39" s="2" t="s">
        <v>144</v>
      </c>
      <c r="E39" s="3">
        <v>6608624</v>
      </c>
      <c r="F39" s="8">
        <v>2.6</v>
      </c>
      <c r="G39" s="8">
        <v>80.900000000000006</v>
      </c>
    </row>
    <row r="40" spans="1:7" x14ac:dyDescent="0.25">
      <c r="A40" s="4" t="s">
        <v>136</v>
      </c>
      <c r="B40" s="4">
        <v>2023</v>
      </c>
      <c r="C40" s="4">
        <v>8</v>
      </c>
      <c r="D40" s="4" t="s">
        <v>59</v>
      </c>
      <c r="E40" s="5">
        <v>5522565</v>
      </c>
      <c r="F40" s="9">
        <v>2.2000000000000002</v>
      </c>
      <c r="G40" s="9">
        <v>83</v>
      </c>
    </row>
    <row r="41" spans="1:7" x14ac:dyDescent="0.25">
      <c r="A41" s="2" t="s">
        <v>136</v>
      </c>
      <c r="B41" s="2">
        <v>2023</v>
      </c>
      <c r="C41" s="2">
        <v>9</v>
      </c>
      <c r="D41" s="2" t="s">
        <v>145</v>
      </c>
      <c r="E41" s="3">
        <v>5181051</v>
      </c>
      <c r="F41" s="8">
        <v>2</v>
      </c>
      <c r="G41" s="8">
        <v>85.1</v>
      </c>
    </row>
    <row r="42" spans="1:7" x14ac:dyDescent="0.25">
      <c r="A42" s="4" t="s">
        <v>136</v>
      </c>
      <c r="B42" s="4">
        <v>2023</v>
      </c>
      <c r="C42" s="4">
        <v>10</v>
      </c>
      <c r="D42" s="4" t="s">
        <v>50</v>
      </c>
      <c r="E42" s="5">
        <v>4487089</v>
      </c>
      <c r="F42" s="9">
        <v>1.8</v>
      </c>
      <c r="G42" s="9">
        <v>86.9</v>
      </c>
    </row>
    <row r="43" spans="1:7" x14ac:dyDescent="0.25">
      <c r="A43" s="2" t="s">
        <v>136</v>
      </c>
      <c r="B43" s="2">
        <v>2024</v>
      </c>
      <c r="C43" s="2">
        <v>1</v>
      </c>
      <c r="D43" s="2" t="s">
        <v>45</v>
      </c>
      <c r="E43" s="3">
        <v>114887986</v>
      </c>
      <c r="F43" s="8">
        <v>45.7</v>
      </c>
      <c r="G43" s="8">
        <v>45.7</v>
      </c>
    </row>
    <row r="44" spans="1:7" x14ac:dyDescent="0.25">
      <c r="A44" s="4" t="s">
        <v>136</v>
      </c>
      <c r="B44" s="4">
        <v>2024</v>
      </c>
      <c r="C44" s="4">
        <v>2</v>
      </c>
      <c r="D44" s="4" t="s">
        <v>49</v>
      </c>
      <c r="E44" s="5">
        <v>26256103</v>
      </c>
      <c r="F44" s="9">
        <v>10.4</v>
      </c>
      <c r="G44" s="9">
        <v>56.1</v>
      </c>
    </row>
    <row r="45" spans="1:7" x14ac:dyDescent="0.25">
      <c r="A45" s="2" t="s">
        <v>136</v>
      </c>
      <c r="B45" s="2">
        <v>2024</v>
      </c>
      <c r="C45" s="2">
        <v>3</v>
      </c>
      <c r="D45" s="2" t="s">
        <v>51</v>
      </c>
      <c r="E45" s="3">
        <v>21197164</v>
      </c>
      <c r="F45" s="8">
        <v>8.4</v>
      </c>
      <c r="G45" s="8">
        <v>64.5</v>
      </c>
    </row>
    <row r="46" spans="1:7" x14ac:dyDescent="0.25">
      <c r="A46" s="4" t="s">
        <v>136</v>
      </c>
      <c r="B46" s="4">
        <v>2024</v>
      </c>
      <c r="C46" s="4">
        <v>4</v>
      </c>
      <c r="D46" s="4" t="s">
        <v>55</v>
      </c>
      <c r="E46" s="5">
        <v>16965492</v>
      </c>
      <c r="F46" s="9">
        <v>6.7</v>
      </c>
      <c r="G46" s="9">
        <v>71.3</v>
      </c>
    </row>
    <row r="47" spans="1:7" x14ac:dyDescent="0.25">
      <c r="A47" s="2" t="s">
        <v>136</v>
      </c>
      <c r="B47" s="2">
        <v>2024</v>
      </c>
      <c r="C47" s="2">
        <v>5</v>
      </c>
      <c r="D47" s="2" t="s">
        <v>143</v>
      </c>
      <c r="E47" s="3">
        <v>10859246</v>
      </c>
      <c r="F47" s="8">
        <v>4.3</v>
      </c>
      <c r="G47" s="8">
        <v>75.599999999999994</v>
      </c>
    </row>
    <row r="48" spans="1:7" x14ac:dyDescent="0.25">
      <c r="A48" s="4" t="s">
        <v>136</v>
      </c>
      <c r="B48" s="4">
        <v>2024</v>
      </c>
      <c r="C48" s="4">
        <v>6</v>
      </c>
      <c r="D48" s="4" t="s">
        <v>144</v>
      </c>
      <c r="E48" s="5">
        <v>6737898</v>
      </c>
      <c r="F48" s="9">
        <v>2.7</v>
      </c>
      <c r="G48" s="9">
        <v>78.3</v>
      </c>
    </row>
    <row r="49" spans="1:7" x14ac:dyDescent="0.25">
      <c r="A49" s="2" t="s">
        <v>136</v>
      </c>
      <c r="B49" s="2">
        <v>2024</v>
      </c>
      <c r="C49" s="2">
        <v>7</v>
      </c>
      <c r="D49" s="2" t="s">
        <v>56</v>
      </c>
      <c r="E49" s="3">
        <v>6304788</v>
      </c>
      <c r="F49" s="8">
        <v>2.5</v>
      </c>
      <c r="G49" s="8">
        <v>80.8</v>
      </c>
    </row>
    <row r="50" spans="1:7" x14ac:dyDescent="0.25">
      <c r="A50" s="4" t="s">
        <v>136</v>
      </c>
      <c r="B50" s="4">
        <v>2024</v>
      </c>
      <c r="C50" s="4">
        <v>8</v>
      </c>
      <c r="D50" s="4" t="s">
        <v>59</v>
      </c>
      <c r="E50" s="5">
        <v>5034725</v>
      </c>
      <c r="F50" s="9">
        <v>2</v>
      </c>
      <c r="G50" s="9">
        <v>82.8</v>
      </c>
    </row>
    <row r="51" spans="1:7" x14ac:dyDescent="0.25">
      <c r="A51" s="2" t="s">
        <v>136</v>
      </c>
      <c r="B51" s="2">
        <v>2024</v>
      </c>
      <c r="C51" s="2">
        <v>9</v>
      </c>
      <c r="D51" s="2" t="s">
        <v>52</v>
      </c>
      <c r="E51" s="3">
        <v>4867852</v>
      </c>
      <c r="F51" s="8">
        <v>1.9</v>
      </c>
      <c r="G51" s="8">
        <v>84.7</v>
      </c>
    </row>
    <row r="52" spans="1:7" x14ac:dyDescent="0.25">
      <c r="A52" s="4" t="s">
        <v>136</v>
      </c>
      <c r="B52" s="4">
        <v>2024</v>
      </c>
      <c r="C52" s="4">
        <v>10</v>
      </c>
      <c r="D52" s="4" t="s">
        <v>50</v>
      </c>
      <c r="E52" s="5">
        <v>4246871</v>
      </c>
      <c r="F52" s="9">
        <v>1.7</v>
      </c>
      <c r="G52" s="9">
        <v>86.4</v>
      </c>
    </row>
    <row r="53" spans="1:7" x14ac:dyDescent="0.25">
      <c r="A53" s="2" t="s">
        <v>136</v>
      </c>
      <c r="B53" s="2">
        <v>2025</v>
      </c>
      <c r="C53" s="2">
        <v>1</v>
      </c>
      <c r="D53" s="2" t="s">
        <v>45</v>
      </c>
      <c r="E53" s="3">
        <v>100771475</v>
      </c>
      <c r="F53" s="8">
        <v>39.799999999999997</v>
      </c>
      <c r="G53" s="8">
        <v>39.799999999999997</v>
      </c>
    </row>
    <row r="54" spans="1:7" x14ac:dyDescent="0.25">
      <c r="A54" s="4" t="s">
        <v>136</v>
      </c>
      <c r="B54" s="4">
        <v>2025</v>
      </c>
      <c r="C54" s="4">
        <v>2</v>
      </c>
      <c r="D54" s="4" t="s">
        <v>49</v>
      </c>
      <c r="E54" s="5">
        <v>23874606</v>
      </c>
      <c r="F54" s="9">
        <v>9.4</v>
      </c>
      <c r="G54" s="9">
        <v>49.2</v>
      </c>
    </row>
    <row r="55" spans="1:7" x14ac:dyDescent="0.25">
      <c r="A55" s="2" t="s">
        <v>136</v>
      </c>
      <c r="B55" s="2">
        <v>2025</v>
      </c>
      <c r="C55" s="2">
        <v>3</v>
      </c>
      <c r="D55" s="2" t="s">
        <v>51</v>
      </c>
      <c r="E55" s="3">
        <v>21880259</v>
      </c>
      <c r="F55" s="8">
        <v>8.6</v>
      </c>
      <c r="G55" s="8">
        <v>57.9</v>
      </c>
    </row>
    <row r="56" spans="1:7" x14ac:dyDescent="0.25">
      <c r="A56" s="4" t="s">
        <v>136</v>
      </c>
      <c r="B56" s="4">
        <v>2025</v>
      </c>
      <c r="C56" s="4">
        <v>4</v>
      </c>
      <c r="D56" s="4" t="s">
        <v>55</v>
      </c>
      <c r="E56" s="5">
        <v>17855294</v>
      </c>
      <c r="F56" s="9">
        <v>7.1</v>
      </c>
      <c r="G56" s="9">
        <v>64.900000000000006</v>
      </c>
    </row>
    <row r="57" spans="1:7" x14ac:dyDescent="0.25">
      <c r="A57" s="2" t="s">
        <v>136</v>
      </c>
      <c r="B57" s="2">
        <v>2025</v>
      </c>
      <c r="C57" s="2">
        <v>5</v>
      </c>
      <c r="D57" s="2" t="s">
        <v>144</v>
      </c>
      <c r="E57" s="3">
        <v>12347907</v>
      </c>
      <c r="F57" s="8">
        <v>4.9000000000000004</v>
      </c>
      <c r="G57" s="8">
        <v>69.8</v>
      </c>
    </row>
    <row r="58" spans="1:7" x14ac:dyDescent="0.25">
      <c r="A58" s="4" t="s">
        <v>136</v>
      </c>
      <c r="B58" s="4">
        <v>2025</v>
      </c>
      <c r="C58" s="4">
        <v>6</v>
      </c>
      <c r="D58" s="4" t="s">
        <v>143</v>
      </c>
      <c r="E58" s="5">
        <v>9920522</v>
      </c>
      <c r="F58" s="9">
        <v>3.9</v>
      </c>
      <c r="G58" s="9">
        <v>73.7</v>
      </c>
    </row>
    <row r="59" spans="1:7" x14ac:dyDescent="0.25">
      <c r="A59" s="2" t="s">
        <v>136</v>
      </c>
      <c r="B59" s="2">
        <v>2025</v>
      </c>
      <c r="C59" s="2">
        <v>7</v>
      </c>
      <c r="D59" s="2" t="s">
        <v>56</v>
      </c>
      <c r="E59" s="3">
        <v>8886333</v>
      </c>
      <c r="F59" s="8">
        <v>3.5</v>
      </c>
      <c r="G59" s="8">
        <v>77.2</v>
      </c>
    </row>
    <row r="60" spans="1:7" x14ac:dyDescent="0.25">
      <c r="A60" s="4" t="s">
        <v>136</v>
      </c>
      <c r="B60" s="4">
        <v>2025</v>
      </c>
      <c r="C60" s="4">
        <v>8</v>
      </c>
      <c r="D60" s="4" t="s">
        <v>47</v>
      </c>
      <c r="E60" s="5">
        <v>6514963</v>
      </c>
      <c r="F60" s="9">
        <v>2.6</v>
      </c>
      <c r="G60" s="9">
        <v>79.8</v>
      </c>
    </row>
    <row r="61" spans="1:7" x14ac:dyDescent="0.25">
      <c r="A61" s="2" t="s">
        <v>136</v>
      </c>
      <c r="B61" s="2">
        <v>2025</v>
      </c>
      <c r="C61" s="2">
        <v>9</v>
      </c>
      <c r="D61" s="2" t="s">
        <v>59</v>
      </c>
      <c r="E61" s="3">
        <v>6076222</v>
      </c>
      <c r="F61" s="8">
        <v>2.4</v>
      </c>
      <c r="G61" s="8">
        <v>82.2</v>
      </c>
    </row>
    <row r="62" spans="1:7" x14ac:dyDescent="0.25">
      <c r="A62" s="4" t="s">
        <v>136</v>
      </c>
      <c r="B62" s="4">
        <v>2025</v>
      </c>
      <c r="C62" s="4">
        <v>10</v>
      </c>
      <c r="D62" s="4" t="s">
        <v>52</v>
      </c>
      <c r="E62" s="5">
        <v>5340504</v>
      </c>
      <c r="F62" s="9">
        <v>2.1</v>
      </c>
      <c r="G62" s="9">
        <v>84.3</v>
      </c>
    </row>
    <row r="63" spans="1:7" x14ac:dyDescent="0.25">
      <c r="A63" s="2" t="s">
        <v>134</v>
      </c>
      <c r="B63" s="2">
        <v>2023</v>
      </c>
      <c r="C63" s="2">
        <v>1</v>
      </c>
      <c r="D63" s="2" t="s">
        <v>48</v>
      </c>
      <c r="E63" s="3">
        <v>23607252</v>
      </c>
      <c r="F63" s="8">
        <v>56</v>
      </c>
      <c r="G63" s="8">
        <v>56</v>
      </c>
    </row>
    <row r="64" spans="1:7" x14ac:dyDescent="0.25">
      <c r="A64" s="4" t="s">
        <v>134</v>
      </c>
      <c r="B64" s="4">
        <v>2023</v>
      </c>
      <c r="C64" s="4">
        <v>2</v>
      </c>
      <c r="D64" s="4" t="s">
        <v>58</v>
      </c>
      <c r="E64" s="5">
        <v>14250186</v>
      </c>
      <c r="F64" s="9">
        <v>33.799999999999997</v>
      </c>
      <c r="G64" s="9">
        <v>89.9</v>
      </c>
    </row>
    <row r="65" spans="1:7" x14ac:dyDescent="0.25">
      <c r="A65" s="2" t="s">
        <v>134</v>
      </c>
      <c r="B65" s="2">
        <v>2023</v>
      </c>
      <c r="C65" s="2">
        <v>3</v>
      </c>
      <c r="D65" s="2" t="s">
        <v>45</v>
      </c>
      <c r="E65" s="3">
        <v>1604610</v>
      </c>
      <c r="F65" s="8">
        <v>3.8</v>
      </c>
      <c r="G65" s="8">
        <v>93.7</v>
      </c>
    </row>
    <row r="66" spans="1:7" x14ac:dyDescent="0.25">
      <c r="A66" s="4" t="s">
        <v>134</v>
      </c>
      <c r="B66" s="4">
        <v>2023</v>
      </c>
      <c r="C66" s="4">
        <v>4</v>
      </c>
      <c r="D66" s="4" t="s">
        <v>56</v>
      </c>
      <c r="E66" s="5">
        <v>963355</v>
      </c>
      <c r="F66" s="9">
        <v>2.2999999999999998</v>
      </c>
      <c r="G66" s="9">
        <v>96</v>
      </c>
    </row>
    <row r="67" spans="1:7" x14ac:dyDescent="0.25">
      <c r="A67" s="2" t="s">
        <v>134</v>
      </c>
      <c r="B67" s="2">
        <v>2023</v>
      </c>
      <c r="C67" s="2">
        <v>5</v>
      </c>
      <c r="D67" s="2" t="s">
        <v>146</v>
      </c>
      <c r="E67" s="3">
        <v>365235</v>
      </c>
      <c r="F67" s="8">
        <v>0.9</v>
      </c>
      <c r="G67" s="8">
        <v>96.8</v>
      </c>
    </row>
    <row r="68" spans="1:7" x14ac:dyDescent="0.25">
      <c r="A68" s="4" t="s">
        <v>134</v>
      </c>
      <c r="B68" s="4">
        <v>2023</v>
      </c>
      <c r="C68" s="4">
        <v>6</v>
      </c>
      <c r="D68" s="4" t="s">
        <v>83</v>
      </c>
      <c r="E68" s="5">
        <v>248270</v>
      </c>
      <c r="F68" s="9">
        <v>0.6</v>
      </c>
      <c r="G68" s="9">
        <v>97.4</v>
      </c>
    </row>
    <row r="69" spans="1:7" x14ac:dyDescent="0.25">
      <c r="A69" s="2" t="s">
        <v>134</v>
      </c>
      <c r="B69" s="2">
        <v>2023</v>
      </c>
      <c r="C69" s="2">
        <v>7</v>
      </c>
      <c r="D69" s="2" t="s">
        <v>82</v>
      </c>
      <c r="E69" s="3">
        <v>123431</v>
      </c>
      <c r="F69" s="8">
        <v>0.3</v>
      </c>
      <c r="G69" s="8">
        <v>97.7</v>
      </c>
    </row>
    <row r="70" spans="1:7" x14ac:dyDescent="0.25">
      <c r="A70" s="4" t="s">
        <v>134</v>
      </c>
      <c r="B70" s="4">
        <v>2023</v>
      </c>
      <c r="C70" s="4">
        <v>8</v>
      </c>
      <c r="D70" s="4" t="s">
        <v>84</v>
      </c>
      <c r="E70" s="5">
        <v>119688</v>
      </c>
      <c r="F70" s="9">
        <v>0.3</v>
      </c>
      <c r="G70" s="9">
        <v>98</v>
      </c>
    </row>
    <row r="71" spans="1:7" x14ac:dyDescent="0.25">
      <c r="A71" s="2" t="s">
        <v>134</v>
      </c>
      <c r="B71" s="2">
        <v>2023</v>
      </c>
      <c r="C71" s="2">
        <v>9</v>
      </c>
      <c r="D71" s="2" t="s">
        <v>147</v>
      </c>
      <c r="E71" s="3">
        <v>92456</v>
      </c>
      <c r="F71" s="8">
        <v>0.2</v>
      </c>
      <c r="G71" s="8">
        <v>98.2</v>
      </c>
    </row>
    <row r="72" spans="1:7" x14ac:dyDescent="0.25">
      <c r="A72" s="4" t="s">
        <v>134</v>
      </c>
      <c r="B72" s="4">
        <v>2023</v>
      </c>
      <c r="C72" s="4">
        <v>10</v>
      </c>
      <c r="D72" s="4" t="s">
        <v>148</v>
      </c>
      <c r="E72" s="5">
        <v>69380</v>
      </c>
      <c r="F72" s="9">
        <v>0.2</v>
      </c>
      <c r="G72" s="9">
        <v>98.4</v>
      </c>
    </row>
    <row r="73" spans="1:7" x14ac:dyDescent="0.25">
      <c r="A73" s="2" t="s">
        <v>134</v>
      </c>
      <c r="B73" s="2">
        <v>2024</v>
      </c>
      <c r="C73" s="2">
        <v>1</v>
      </c>
      <c r="D73" s="2" t="s">
        <v>48</v>
      </c>
      <c r="E73" s="3">
        <v>25526429</v>
      </c>
      <c r="F73" s="8">
        <v>50.3</v>
      </c>
      <c r="G73" s="8">
        <v>50.3</v>
      </c>
    </row>
    <row r="74" spans="1:7" x14ac:dyDescent="0.25">
      <c r="A74" s="4" t="s">
        <v>134</v>
      </c>
      <c r="B74" s="4">
        <v>2024</v>
      </c>
      <c r="C74" s="4">
        <v>2</v>
      </c>
      <c r="D74" s="4" t="s">
        <v>58</v>
      </c>
      <c r="E74" s="5">
        <v>19815829</v>
      </c>
      <c r="F74" s="9">
        <v>39.1</v>
      </c>
      <c r="G74" s="9">
        <v>89.4</v>
      </c>
    </row>
    <row r="75" spans="1:7" x14ac:dyDescent="0.25">
      <c r="A75" s="2" t="s">
        <v>134</v>
      </c>
      <c r="B75" s="2">
        <v>2024</v>
      </c>
      <c r="C75" s="2">
        <v>3</v>
      </c>
      <c r="D75" s="2" t="s">
        <v>45</v>
      </c>
      <c r="E75" s="3">
        <v>1839639</v>
      </c>
      <c r="F75" s="8">
        <v>3.6</v>
      </c>
      <c r="G75" s="8">
        <v>93</v>
      </c>
    </row>
    <row r="76" spans="1:7" x14ac:dyDescent="0.25">
      <c r="A76" s="4" t="s">
        <v>134</v>
      </c>
      <c r="B76" s="4">
        <v>2024</v>
      </c>
      <c r="C76" s="4">
        <v>4</v>
      </c>
      <c r="D76" s="4" t="s">
        <v>56</v>
      </c>
      <c r="E76" s="5">
        <v>1372789</v>
      </c>
      <c r="F76" s="9">
        <v>2.7</v>
      </c>
      <c r="G76" s="9">
        <v>95.7</v>
      </c>
    </row>
    <row r="77" spans="1:7" x14ac:dyDescent="0.25">
      <c r="A77" s="2" t="s">
        <v>134</v>
      </c>
      <c r="B77" s="2">
        <v>2024</v>
      </c>
      <c r="C77" s="2">
        <v>5</v>
      </c>
      <c r="D77" s="2" t="s">
        <v>83</v>
      </c>
      <c r="E77" s="3">
        <v>620044</v>
      </c>
      <c r="F77" s="8">
        <v>1.2</v>
      </c>
      <c r="G77" s="8">
        <v>97</v>
      </c>
    </row>
    <row r="78" spans="1:7" x14ac:dyDescent="0.25">
      <c r="A78" s="4" t="s">
        <v>134</v>
      </c>
      <c r="B78" s="4">
        <v>2024</v>
      </c>
      <c r="C78" s="4">
        <v>6</v>
      </c>
      <c r="D78" s="4" t="s">
        <v>85</v>
      </c>
      <c r="E78" s="5">
        <v>227891</v>
      </c>
      <c r="F78" s="9">
        <v>0.4</v>
      </c>
      <c r="G78" s="9">
        <v>97.4</v>
      </c>
    </row>
    <row r="79" spans="1:7" x14ac:dyDescent="0.25">
      <c r="A79" s="2" t="s">
        <v>134</v>
      </c>
      <c r="B79" s="2">
        <v>2024</v>
      </c>
      <c r="C79" s="2">
        <v>7</v>
      </c>
      <c r="D79" s="2" t="s">
        <v>149</v>
      </c>
      <c r="E79" s="3">
        <v>143257</v>
      </c>
      <c r="F79" s="8">
        <v>0.3</v>
      </c>
      <c r="G79" s="8">
        <v>97.7</v>
      </c>
    </row>
    <row r="80" spans="1:7" x14ac:dyDescent="0.25">
      <c r="A80" s="4" t="s">
        <v>134</v>
      </c>
      <c r="B80" s="4">
        <v>2024</v>
      </c>
      <c r="C80" s="4">
        <v>8</v>
      </c>
      <c r="D80" s="4" t="s">
        <v>147</v>
      </c>
      <c r="E80" s="5">
        <v>138043</v>
      </c>
      <c r="F80" s="9">
        <v>0.3</v>
      </c>
      <c r="G80" s="9">
        <v>98</v>
      </c>
    </row>
    <row r="81" spans="1:7" x14ac:dyDescent="0.25">
      <c r="A81" s="2" t="s">
        <v>134</v>
      </c>
      <c r="B81" s="2">
        <v>2024</v>
      </c>
      <c r="C81" s="2">
        <v>9</v>
      </c>
      <c r="D81" s="2" t="s">
        <v>150</v>
      </c>
      <c r="E81" s="3">
        <v>117991</v>
      </c>
      <c r="F81" s="8">
        <v>0.2</v>
      </c>
      <c r="G81" s="8">
        <v>98.2</v>
      </c>
    </row>
    <row r="82" spans="1:7" x14ac:dyDescent="0.25">
      <c r="A82" s="4" t="s">
        <v>134</v>
      </c>
      <c r="B82" s="4">
        <v>2024</v>
      </c>
      <c r="C82" s="4">
        <v>10</v>
      </c>
      <c r="D82" s="4" t="s">
        <v>46</v>
      </c>
      <c r="E82" s="5">
        <v>107460</v>
      </c>
      <c r="F82" s="9">
        <v>0.2</v>
      </c>
      <c r="G82" s="9">
        <v>98.4</v>
      </c>
    </row>
    <row r="83" spans="1:7" x14ac:dyDescent="0.25">
      <c r="A83" s="2" t="s">
        <v>134</v>
      </c>
      <c r="B83" s="2">
        <v>2025</v>
      </c>
      <c r="C83" s="2">
        <v>1</v>
      </c>
      <c r="D83" s="2" t="s">
        <v>58</v>
      </c>
      <c r="E83" s="3">
        <v>22985441</v>
      </c>
      <c r="F83" s="8">
        <v>46.9</v>
      </c>
      <c r="G83" s="8">
        <v>46.9</v>
      </c>
    </row>
    <row r="84" spans="1:7" x14ac:dyDescent="0.25">
      <c r="A84" s="4" t="s">
        <v>134</v>
      </c>
      <c r="B84" s="4">
        <v>2025</v>
      </c>
      <c r="C84" s="4">
        <v>2</v>
      </c>
      <c r="D84" s="4" t="s">
        <v>48</v>
      </c>
      <c r="E84" s="5">
        <v>21110946</v>
      </c>
      <c r="F84" s="9">
        <v>43.1</v>
      </c>
      <c r="G84" s="9">
        <v>90</v>
      </c>
    </row>
    <row r="85" spans="1:7" x14ac:dyDescent="0.25">
      <c r="A85" s="2" t="s">
        <v>134</v>
      </c>
      <c r="B85" s="2">
        <v>2025</v>
      </c>
      <c r="C85" s="2">
        <v>3</v>
      </c>
      <c r="D85" s="2" t="s">
        <v>45</v>
      </c>
      <c r="E85" s="3">
        <v>1358294</v>
      </c>
      <c r="F85" s="8">
        <v>2.8</v>
      </c>
      <c r="G85" s="8">
        <v>92.7</v>
      </c>
    </row>
    <row r="86" spans="1:7" x14ac:dyDescent="0.25">
      <c r="A86" s="4" t="s">
        <v>134</v>
      </c>
      <c r="B86" s="4">
        <v>2025</v>
      </c>
      <c r="C86" s="4">
        <v>4</v>
      </c>
      <c r="D86" s="4" t="s">
        <v>56</v>
      </c>
      <c r="E86" s="5">
        <v>1031778</v>
      </c>
      <c r="F86" s="9">
        <v>2.1</v>
      </c>
      <c r="G86" s="9">
        <v>94.8</v>
      </c>
    </row>
    <row r="87" spans="1:7" x14ac:dyDescent="0.25">
      <c r="A87" s="2" t="s">
        <v>134</v>
      </c>
      <c r="B87" s="2">
        <v>2025</v>
      </c>
      <c r="C87" s="2">
        <v>5</v>
      </c>
      <c r="D87" s="2" t="s">
        <v>83</v>
      </c>
      <c r="E87" s="3">
        <v>635315</v>
      </c>
      <c r="F87" s="8">
        <v>1.3</v>
      </c>
      <c r="G87" s="8">
        <v>96.1</v>
      </c>
    </row>
    <row r="88" spans="1:7" x14ac:dyDescent="0.25">
      <c r="A88" s="4" t="s">
        <v>134</v>
      </c>
      <c r="B88" s="4">
        <v>2025</v>
      </c>
      <c r="C88" s="4">
        <v>6</v>
      </c>
      <c r="D88" s="4" t="s">
        <v>50</v>
      </c>
      <c r="E88" s="5">
        <v>343293</v>
      </c>
      <c r="F88" s="9">
        <v>0.7</v>
      </c>
      <c r="G88" s="9">
        <v>96.8</v>
      </c>
    </row>
    <row r="89" spans="1:7" x14ac:dyDescent="0.25">
      <c r="A89" s="2" t="s">
        <v>134</v>
      </c>
      <c r="B89" s="2">
        <v>2025</v>
      </c>
      <c r="C89" s="2">
        <v>7</v>
      </c>
      <c r="D89" s="2" t="s">
        <v>84</v>
      </c>
      <c r="E89" s="3">
        <v>233222</v>
      </c>
      <c r="F89" s="8">
        <v>0.5</v>
      </c>
      <c r="G89" s="8">
        <v>97.3</v>
      </c>
    </row>
    <row r="90" spans="1:7" x14ac:dyDescent="0.25">
      <c r="A90" s="4" t="s">
        <v>134</v>
      </c>
      <c r="B90" s="4">
        <v>2025</v>
      </c>
      <c r="C90" s="4">
        <v>8</v>
      </c>
      <c r="D90" s="4" t="s">
        <v>86</v>
      </c>
      <c r="E90" s="5">
        <v>205534</v>
      </c>
      <c r="F90" s="9">
        <v>0.4</v>
      </c>
      <c r="G90" s="9">
        <v>97.7</v>
      </c>
    </row>
    <row r="91" spans="1:7" x14ac:dyDescent="0.25">
      <c r="A91" s="2" t="s">
        <v>134</v>
      </c>
      <c r="B91" s="2">
        <v>2025</v>
      </c>
      <c r="C91" s="2">
        <v>9</v>
      </c>
      <c r="D91" s="2" t="s">
        <v>46</v>
      </c>
      <c r="E91" s="3">
        <v>201540</v>
      </c>
      <c r="F91" s="8">
        <v>0.4</v>
      </c>
      <c r="G91" s="8">
        <v>98.1</v>
      </c>
    </row>
    <row r="92" spans="1:7" x14ac:dyDescent="0.25">
      <c r="A92" s="4" t="s">
        <v>134</v>
      </c>
      <c r="B92" s="4">
        <v>2025</v>
      </c>
      <c r="C92" s="4">
        <v>10</v>
      </c>
      <c r="D92" s="4" t="s">
        <v>85</v>
      </c>
      <c r="E92" s="5">
        <v>142120</v>
      </c>
      <c r="F92" s="9">
        <v>0.3</v>
      </c>
      <c r="G92" s="9">
        <v>98.4</v>
      </c>
    </row>
    <row r="93" spans="1:7" x14ac:dyDescent="0.25">
      <c r="A93" s="2" t="s">
        <v>137</v>
      </c>
      <c r="B93" s="2">
        <v>2023</v>
      </c>
      <c r="C93" s="2">
        <v>1</v>
      </c>
      <c r="D93" s="2" t="s">
        <v>47</v>
      </c>
      <c r="E93" s="3">
        <v>84071038</v>
      </c>
      <c r="F93" s="8">
        <v>24.1</v>
      </c>
      <c r="G93" s="8">
        <v>24.1</v>
      </c>
    </row>
    <row r="94" spans="1:7" x14ac:dyDescent="0.25">
      <c r="A94" s="4" t="s">
        <v>137</v>
      </c>
      <c r="B94" s="4">
        <v>2023</v>
      </c>
      <c r="C94" s="4">
        <v>2</v>
      </c>
      <c r="D94" s="4" t="s">
        <v>45</v>
      </c>
      <c r="E94" s="5">
        <v>36168053</v>
      </c>
      <c r="F94" s="9">
        <v>10.4</v>
      </c>
      <c r="G94" s="9">
        <v>34.4</v>
      </c>
    </row>
    <row r="95" spans="1:7" x14ac:dyDescent="0.25">
      <c r="A95" s="2" t="s">
        <v>137</v>
      </c>
      <c r="B95" s="2">
        <v>2023</v>
      </c>
      <c r="C95" s="2">
        <v>3</v>
      </c>
      <c r="D95" s="2" t="s">
        <v>50</v>
      </c>
      <c r="E95" s="3">
        <v>34963699</v>
      </c>
      <c r="F95" s="8">
        <v>10</v>
      </c>
      <c r="G95" s="8">
        <v>44.4</v>
      </c>
    </row>
    <row r="96" spans="1:7" x14ac:dyDescent="0.25">
      <c r="A96" s="4" t="s">
        <v>137</v>
      </c>
      <c r="B96" s="4">
        <v>2023</v>
      </c>
      <c r="C96" s="4">
        <v>4</v>
      </c>
      <c r="D96" s="4" t="s">
        <v>52</v>
      </c>
      <c r="E96" s="5">
        <v>28442464</v>
      </c>
      <c r="F96" s="9">
        <v>8.1</v>
      </c>
      <c r="G96" s="9">
        <v>52.6</v>
      </c>
    </row>
    <row r="97" spans="1:7" x14ac:dyDescent="0.25">
      <c r="A97" s="2" t="s">
        <v>137</v>
      </c>
      <c r="B97" s="2">
        <v>2023</v>
      </c>
      <c r="C97" s="2">
        <v>5</v>
      </c>
      <c r="D97" s="2" t="s">
        <v>46</v>
      </c>
      <c r="E97" s="3">
        <v>23660633</v>
      </c>
      <c r="F97" s="8">
        <v>6.8</v>
      </c>
      <c r="G97" s="8">
        <v>59.3</v>
      </c>
    </row>
    <row r="98" spans="1:7" x14ac:dyDescent="0.25">
      <c r="A98" s="4" t="s">
        <v>137</v>
      </c>
      <c r="B98" s="4">
        <v>2023</v>
      </c>
      <c r="C98" s="4">
        <v>6</v>
      </c>
      <c r="D98" s="4" t="s">
        <v>51</v>
      </c>
      <c r="E98" s="5">
        <v>21618970</v>
      </c>
      <c r="F98" s="9">
        <v>6.2</v>
      </c>
      <c r="G98" s="9">
        <v>65.5</v>
      </c>
    </row>
    <row r="99" spans="1:7" x14ac:dyDescent="0.25">
      <c r="A99" s="2" t="s">
        <v>137</v>
      </c>
      <c r="B99" s="2">
        <v>2023</v>
      </c>
      <c r="C99" s="2">
        <v>7</v>
      </c>
      <c r="D99" s="2" t="s">
        <v>80</v>
      </c>
      <c r="E99" s="3">
        <v>19813320</v>
      </c>
      <c r="F99" s="8">
        <v>5.7</v>
      </c>
      <c r="G99" s="8">
        <v>71.2</v>
      </c>
    </row>
    <row r="100" spans="1:7" x14ac:dyDescent="0.25">
      <c r="A100" s="4" t="s">
        <v>137</v>
      </c>
      <c r="B100" s="4">
        <v>2023</v>
      </c>
      <c r="C100" s="4">
        <v>8</v>
      </c>
      <c r="D100" s="4" t="s">
        <v>81</v>
      </c>
      <c r="E100" s="5">
        <v>17799123</v>
      </c>
      <c r="F100" s="9">
        <v>5.0999999999999996</v>
      </c>
      <c r="G100" s="9">
        <v>76.3</v>
      </c>
    </row>
    <row r="101" spans="1:7" x14ac:dyDescent="0.25">
      <c r="A101" s="2" t="s">
        <v>137</v>
      </c>
      <c r="B101" s="2">
        <v>2023</v>
      </c>
      <c r="C101" s="2">
        <v>9</v>
      </c>
      <c r="D101" s="2" t="s">
        <v>82</v>
      </c>
      <c r="E101" s="3">
        <v>17291710</v>
      </c>
      <c r="F101" s="8">
        <v>5</v>
      </c>
      <c r="G101" s="8">
        <v>81.3</v>
      </c>
    </row>
    <row r="102" spans="1:7" x14ac:dyDescent="0.25">
      <c r="A102" s="4" t="s">
        <v>137</v>
      </c>
      <c r="B102" s="4">
        <v>2023</v>
      </c>
      <c r="C102" s="4">
        <v>10</v>
      </c>
      <c r="D102" s="4" t="s">
        <v>54</v>
      </c>
      <c r="E102" s="5">
        <v>9817260</v>
      </c>
      <c r="F102" s="9">
        <v>2.8</v>
      </c>
      <c r="G102" s="9">
        <v>84.1</v>
      </c>
    </row>
    <row r="103" spans="1:7" x14ac:dyDescent="0.25">
      <c r="A103" s="2" t="s">
        <v>137</v>
      </c>
      <c r="B103" s="2">
        <v>2024</v>
      </c>
      <c r="C103" s="2">
        <v>1</v>
      </c>
      <c r="D103" s="2" t="s">
        <v>47</v>
      </c>
      <c r="E103" s="3">
        <v>86092676</v>
      </c>
      <c r="F103" s="8">
        <v>26</v>
      </c>
      <c r="G103" s="8">
        <v>26</v>
      </c>
    </row>
    <row r="104" spans="1:7" x14ac:dyDescent="0.25">
      <c r="A104" s="4" t="s">
        <v>137</v>
      </c>
      <c r="B104" s="4">
        <v>2024</v>
      </c>
      <c r="C104" s="4">
        <v>2</v>
      </c>
      <c r="D104" s="4" t="s">
        <v>52</v>
      </c>
      <c r="E104" s="5">
        <v>34629834</v>
      </c>
      <c r="F104" s="9">
        <v>10.5</v>
      </c>
      <c r="G104" s="9">
        <v>36.5</v>
      </c>
    </row>
    <row r="105" spans="1:7" x14ac:dyDescent="0.25">
      <c r="A105" s="2" t="s">
        <v>137</v>
      </c>
      <c r="B105" s="2">
        <v>2024</v>
      </c>
      <c r="C105" s="2">
        <v>3</v>
      </c>
      <c r="D105" s="2" t="s">
        <v>46</v>
      </c>
      <c r="E105" s="3">
        <v>27885706</v>
      </c>
      <c r="F105" s="8">
        <v>8.4</v>
      </c>
      <c r="G105" s="8">
        <v>44.9</v>
      </c>
    </row>
    <row r="106" spans="1:7" x14ac:dyDescent="0.25">
      <c r="A106" s="4" t="s">
        <v>137</v>
      </c>
      <c r="B106" s="4">
        <v>2024</v>
      </c>
      <c r="C106" s="4">
        <v>4</v>
      </c>
      <c r="D106" s="4" t="s">
        <v>45</v>
      </c>
      <c r="E106" s="5">
        <v>25186395</v>
      </c>
      <c r="F106" s="9">
        <v>7.6</v>
      </c>
      <c r="G106" s="9">
        <v>52.5</v>
      </c>
    </row>
    <row r="107" spans="1:7" x14ac:dyDescent="0.25">
      <c r="A107" s="2" t="s">
        <v>137</v>
      </c>
      <c r="B107" s="2">
        <v>2024</v>
      </c>
      <c r="C107" s="2">
        <v>5</v>
      </c>
      <c r="D107" s="2" t="s">
        <v>51</v>
      </c>
      <c r="E107" s="3">
        <v>22804860</v>
      </c>
      <c r="F107" s="8">
        <v>6.9</v>
      </c>
      <c r="G107" s="8">
        <v>59.4</v>
      </c>
    </row>
    <row r="108" spans="1:7" x14ac:dyDescent="0.25">
      <c r="A108" s="4" t="s">
        <v>137</v>
      </c>
      <c r="B108" s="4">
        <v>2024</v>
      </c>
      <c r="C108" s="4">
        <v>6</v>
      </c>
      <c r="D108" s="4" t="s">
        <v>50</v>
      </c>
      <c r="E108" s="5">
        <v>20601490</v>
      </c>
      <c r="F108" s="9">
        <v>6.2</v>
      </c>
      <c r="G108" s="9">
        <v>65.599999999999994</v>
      </c>
    </row>
    <row r="109" spans="1:7" x14ac:dyDescent="0.25">
      <c r="A109" s="2" t="s">
        <v>137</v>
      </c>
      <c r="B109" s="2">
        <v>2024</v>
      </c>
      <c r="C109" s="2">
        <v>7</v>
      </c>
      <c r="D109" s="2" t="s">
        <v>81</v>
      </c>
      <c r="E109" s="3">
        <v>13847976</v>
      </c>
      <c r="F109" s="8">
        <v>4.2</v>
      </c>
      <c r="G109" s="8">
        <v>69.8</v>
      </c>
    </row>
    <row r="110" spans="1:7" x14ac:dyDescent="0.25">
      <c r="A110" s="4" t="s">
        <v>137</v>
      </c>
      <c r="B110" s="4">
        <v>2024</v>
      </c>
      <c r="C110" s="4">
        <v>8</v>
      </c>
      <c r="D110" s="4" t="s">
        <v>54</v>
      </c>
      <c r="E110" s="5">
        <v>9173751</v>
      </c>
      <c r="F110" s="9">
        <v>2.8</v>
      </c>
      <c r="G110" s="9">
        <v>72.599999999999994</v>
      </c>
    </row>
    <row r="111" spans="1:7" x14ac:dyDescent="0.25">
      <c r="A111" s="2" t="s">
        <v>137</v>
      </c>
      <c r="B111" s="2">
        <v>2024</v>
      </c>
      <c r="C111" s="2">
        <v>9</v>
      </c>
      <c r="D111" s="2" t="s">
        <v>82</v>
      </c>
      <c r="E111" s="3">
        <v>8561898</v>
      </c>
      <c r="F111" s="8">
        <v>2.6</v>
      </c>
      <c r="G111" s="8">
        <v>75.2</v>
      </c>
    </row>
    <row r="112" spans="1:7" x14ac:dyDescent="0.25">
      <c r="A112" s="4" t="s">
        <v>137</v>
      </c>
      <c r="B112" s="4">
        <v>2024</v>
      </c>
      <c r="C112" s="4">
        <v>10</v>
      </c>
      <c r="D112" s="4" t="s">
        <v>48</v>
      </c>
      <c r="E112" s="5">
        <v>7761246</v>
      </c>
      <c r="F112" s="9">
        <v>2.2999999999999998</v>
      </c>
      <c r="G112" s="9">
        <v>77.5</v>
      </c>
    </row>
    <row r="113" spans="1:7" x14ac:dyDescent="0.25">
      <c r="A113" s="2" t="s">
        <v>137</v>
      </c>
      <c r="B113" s="2">
        <v>2025</v>
      </c>
      <c r="C113" s="2">
        <v>1</v>
      </c>
      <c r="D113" s="2" t="s">
        <v>47</v>
      </c>
      <c r="E113" s="3">
        <v>101518662</v>
      </c>
      <c r="F113" s="8">
        <v>27.4</v>
      </c>
      <c r="G113" s="8">
        <v>27.4</v>
      </c>
    </row>
    <row r="114" spans="1:7" x14ac:dyDescent="0.25">
      <c r="A114" s="4" t="s">
        <v>137</v>
      </c>
      <c r="B114" s="4">
        <v>2025</v>
      </c>
      <c r="C114" s="4">
        <v>2</v>
      </c>
      <c r="D114" s="4" t="s">
        <v>52</v>
      </c>
      <c r="E114" s="5">
        <v>37865529</v>
      </c>
      <c r="F114" s="9">
        <v>10.199999999999999</v>
      </c>
      <c r="G114" s="9">
        <v>37.6</v>
      </c>
    </row>
    <row r="115" spans="1:7" x14ac:dyDescent="0.25">
      <c r="A115" s="2" t="s">
        <v>137</v>
      </c>
      <c r="B115" s="2">
        <v>2025</v>
      </c>
      <c r="C115" s="2">
        <v>3</v>
      </c>
      <c r="D115" s="2" t="s">
        <v>50</v>
      </c>
      <c r="E115" s="3">
        <v>29202628</v>
      </c>
      <c r="F115" s="8">
        <v>7.9</v>
      </c>
      <c r="G115" s="8">
        <v>45.4</v>
      </c>
    </row>
    <row r="116" spans="1:7" x14ac:dyDescent="0.25">
      <c r="A116" s="4" t="s">
        <v>137</v>
      </c>
      <c r="B116" s="4">
        <v>2025</v>
      </c>
      <c r="C116" s="4">
        <v>4</v>
      </c>
      <c r="D116" s="4" t="s">
        <v>46</v>
      </c>
      <c r="E116" s="5">
        <v>23686033</v>
      </c>
      <c r="F116" s="9">
        <v>6.4</v>
      </c>
      <c r="G116" s="9">
        <v>51.8</v>
      </c>
    </row>
    <row r="117" spans="1:7" x14ac:dyDescent="0.25">
      <c r="A117" s="2" t="s">
        <v>137</v>
      </c>
      <c r="B117" s="2">
        <v>2025</v>
      </c>
      <c r="C117" s="2">
        <v>5</v>
      </c>
      <c r="D117" s="2" t="s">
        <v>51</v>
      </c>
      <c r="E117" s="3">
        <v>23164116</v>
      </c>
      <c r="F117" s="8">
        <v>6.2</v>
      </c>
      <c r="G117" s="8">
        <v>58</v>
      </c>
    </row>
    <row r="118" spans="1:7" x14ac:dyDescent="0.25">
      <c r="A118" s="4" t="s">
        <v>137</v>
      </c>
      <c r="B118" s="4">
        <v>2025</v>
      </c>
      <c r="C118" s="4">
        <v>6</v>
      </c>
      <c r="D118" s="4" t="s">
        <v>45</v>
      </c>
      <c r="E118" s="5">
        <v>23149768</v>
      </c>
      <c r="F118" s="9">
        <v>6.2</v>
      </c>
      <c r="G118" s="9">
        <v>64.3</v>
      </c>
    </row>
    <row r="119" spans="1:7" x14ac:dyDescent="0.25">
      <c r="A119" s="2" t="s">
        <v>137</v>
      </c>
      <c r="B119" s="2">
        <v>2025</v>
      </c>
      <c r="C119" s="2">
        <v>7</v>
      </c>
      <c r="D119" s="2" t="s">
        <v>80</v>
      </c>
      <c r="E119" s="3">
        <v>19072749</v>
      </c>
      <c r="F119" s="8">
        <v>5.0999999999999996</v>
      </c>
      <c r="G119" s="8">
        <v>69.400000000000006</v>
      </c>
    </row>
    <row r="120" spans="1:7" x14ac:dyDescent="0.25">
      <c r="A120" s="4" t="s">
        <v>137</v>
      </c>
      <c r="B120" s="4">
        <v>2025</v>
      </c>
      <c r="C120" s="4">
        <v>8</v>
      </c>
      <c r="D120" s="4" t="s">
        <v>81</v>
      </c>
      <c r="E120" s="5">
        <v>16258564</v>
      </c>
      <c r="F120" s="9">
        <v>4.4000000000000004</v>
      </c>
      <c r="G120" s="9">
        <v>73.8</v>
      </c>
    </row>
    <row r="121" spans="1:7" x14ac:dyDescent="0.25">
      <c r="A121" s="2" t="s">
        <v>137</v>
      </c>
      <c r="B121" s="2">
        <v>2025</v>
      </c>
      <c r="C121" s="2">
        <v>9</v>
      </c>
      <c r="D121" s="2" t="s">
        <v>82</v>
      </c>
      <c r="E121" s="3">
        <v>15047674</v>
      </c>
      <c r="F121" s="8">
        <v>4.0999999999999996</v>
      </c>
      <c r="G121" s="8">
        <v>77.900000000000006</v>
      </c>
    </row>
    <row r="122" spans="1:7" x14ac:dyDescent="0.25">
      <c r="A122" s="4" t="s">
        <v>137</v>
      </c>
      <c r="B122" s="4">
        <v>2025</v>
      </c>
      <c r="C122" s="4">
        <v>10</v>
      </c>
      <c r="D122" s="4" t="s">
        <v>48</v>
      </c>
      <c r="E122" s="5">
        <v>8647715</v>
      </c>
      <c r="F122" s="9">
        <v>2.2999999999999998</v>
      </c>
      <c r="G122" s="9">
        <v>80.2</v>
      </c>
    </row>
  </sheetData>
  <mergeCells count="1">
    <mergeCell ref="A1:G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271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29.7109375" customWidth="1"/>
    <col min="2" max="2" width="7.7109375" customWidth="1"/>
    <col min="3" max="3" width="16.7109375" customWidth="1"/>
    <col min="4" max="4" width="21.7109375" customWidth="1"/>
  </cols>
  <sheetData>
    <row r="1" spans="1:4" ht="20.100000000000001" customHeight="1" x14ac:dyDescent="0.25">
      <c r="A1" s="18" t="s">
        <v>154</v>
      </c>
      <c r="B1" s="18"/>
      <c r="C1" s="18"/>
      <c r="D1" s="18"/>
    </row>
    <row r="2" spans="1:4" ht="38.1" customHeight="1" x14ac:dyDescent="0.25">
      <c r="A2" s="1" t="s">
        <v>122</v>
      </c>
      <c r="B2" s="1" t="s">
        <v>0</v>
      </c>
      <c r="C2" s="1" t="s">
        <v>152</v>
      </c>
      <c r="D2" s="1" t="s">
        <v>153</v>
      </c>
    </row>
    <row r="3" spans="1:4" x14ac:dyDescent="0.25">
      <c r="A3" s="2" t="s">
        <v>135</v>
      </c>
      <c r="B3" s="2">
        <v>2023</v>
      </c>
      <c r="C3" s="8">
        <v>0.8</v>
      </c>
      <c r="D3" s="3">
        <v>0</v>
      </c>
    </row>
    <row r="4" spans="1:4" x14ac:dyDescent="0.25">
      <c r="A4" s="4" t="s">
        <v>135</v>
      </c>
      <c r="B4" s="4">
        <v>2023</v>
      </c>
      <c r="C4" s="9">
        <v>5.5</v>
      </c>
      <c r="D4" s="5">
        <v>0</v>
      </c>
    </row>
    <row r="5" spans="1:4" x14ac:dyDescent="0.25">
      <c r="A5" s="2" t="s">
        <v>135</v>
      </c>
      <c r="B5" s="2">
        <v>2023</v>
      </c>
      <c r="C5" s="8">
        <v>10.199999999999999</v>
      </c>
      <c r="D5" s="3">
        <v>0</v>
      </c>
    </row>
    <row r="6" spans="1:4" x14ac:dyDescent="0.25">
      <c r="A6" s="4" t="s">
        <v>135</v>
      </c>
      <c r="B6" s="4">
        <v>2023</v>
      </c>
      <c r="C6" s="9">
        <v>15</v>
      </c>
      <c r="D6" s="5">
        <v>0</v>
      </c>
    </row>
    <row r="7" spans="1:4" x14ac:dyDescent="0.25">
      <c r="A7" s="2" t="s">
        <v>135</v>
      </c>
      <c r="B7" s="2">
        <v>2023</v>
      </c>
      <c r="C7" s="8">
        <v>19.7</v>
      </c>
      <c r="D7" s="3">
        <v>0.1</v>
      </c>
    </row>
    <row r="8" spans="1:4" x14ac:dyDescent="0.25">
      <c r="A8" s="4" t="s">
        <v>135</v>
      </c>
      <c r="B8" s="4">
        <v>2023</v>
      </c>
      <c r="C8" s="9">
        <v>24.4</v>
      </c>
      <c r="D8" s="5">
        <v>0.1</v>
      </c>
    </row>
    <row r="9" spans="1:4" x14ac:dyDescent="0.25">
      <c r="A9" s="2" t="s">
        <v>135</v>
      </c>
      <c r="B9" s="2">
        <v>2023</v>
      </c>
      <c r="C9" s="8">
        <v>29.1</v>
      </c>
      <c r="D9" s="3">
        <v>0.2</v>
      </c>
    </row>
    <row r="10" spans="1:4" x14ac:dyDescent="0.25">
      <c r="A10" s="4" t="s">
        <v>135</v>
      </c>
      <c r="B10" s="4">
        <v>2023</v>
      </c>
      <c r="C10" s="9">
        <v>33.9</v>
      </c>
      <c r="D10" s="5">
        <v>0.3</v>
      </c>
    </row>
    <row r="11" spans="1:4" x14ac:dyDescent="0.25">
      <c r="A11" s="2" t="s">
        <v>135</v>
      </c>
      <c r="B11" s="2">
        <v>2023</v>
      </c>
      <c r="C11" s="8">
        <v>38.6</v>
      </c>
      <c r="D11" s="3">
        <v>0.4</v>
      </c>
    </row>
    <row r="12" spans="1:4" x14ac:dyDescent="0.25">
      <c r="A12" s="4" t="s">
        <v>135</v>
      </c>
      <c r="B12" s="4">
        <v>2023</v>
      </c>
      <c r="C12" s="9">
        <v>43.3</v>
      </c>
      <c r="D12" s="5">
        <v>0.7</v>
      </c>
    </row>
    <row r="13" spans="1:4" x14ac:dyDescent="0.25">
      <c r="A13" s="2" t="s">
        <v>135</v>
      </c>
      <c r="B13" s="2">
        <v>2023</v>
      </c>
      <c r="C13" s="8">
        <v>48</v>
      </c>
      <c r="D13" s="3">
        <v>1</v>
      </c>
    </row>
    <row r="14" spans="1:4" x14ac:dyDescent="0.25">
      <c r="A14" s="4" t="s">
        <v>135</v>
      </c>
      <c r="B14" s="4">
        <v>2023</v>
      </c>
      <c r="C14" s="9">
        <v>52.8</v>
      </c>
      <c r="D14" s="5">
        <v>1.3</v>
      </c>
    </row>
    <row r="15" spans="1:4" x14ac:dyDescent="0.25">
      <c r="A15" s="2" t="s">
        <v>135</v>
      </c>
      <c r="B15" s="2">
        <v>2023</v>
      </c>
      <c r="C15" s="8">
        <v>57.5</v>
      </c>
      <c r="D15" s="3">
        <v>1.7</v>
      </c>
    </row>
    <row r="16" spans="1:4" x14ac:dyDescent="0.25">
      <c r="A16" s="4" t="s">
        <v>135</v>
      </c>
      <c r="B16" s="4">
        <v>2023</v>
      </c>
      <c r="C16" s="9">
        <v>62.2</v>
      </c>
      <c r="D16" s="5">
        <v>2.2999999999999998</v>
      </c>
    </row>
    <row r="17" spans="1:4" x14ac:dyDescent="0.25">
      <c r="A17" s="2" t="s">
        <v>135</v>
      </c>
      <c r="B17" s="2">
        <v>2023</v>
      </c>
      <c r="C17" s="8">
        <v>66.900000000000006</v>
      </c>
      <c r="D17" s="3">
        <v>3.1</v>
      </c>
    </row>
    <row r="18" spans="1:4" x14ac:dyDescent="0.25">
      <c r="A18" s="4" t="s">
        <v>135</v>
      </c>
      <c r="B18" s="4">
        <v>2023</v>
      </c>
      <c r="C18" s="9">
        <v>71.7</v>
      </c>
      <c r="D18" s="5">
        <v>4.5999999999999996</v>
      </c>
    </row>
    <row r="19" spans="1:4" x14ac:dyDescent="0.25">
      <c r="A19" s="2" t="s">
        <v>135</v>
      </c>
      <c r="B19" s="2">
        <v>2023</v>
      </c>
      <c r="C19" s="8">
        <v>76.400000000000006</v>
      </c>
      <c r="D19" s="3">
        <v>6.5</v>
      </c>
    </row>
    <row r="20" spans="1:4" x14ac:dyDescent="0.25">
      <c r="A20" s="4" t="s">
        <v>135</v>
      </c>
      <c r="B20" s="4">
        <v>2023</v>
      </c>
      <c r="C20" s="9">
        <v>81.099999999999994</v>
      </c>
      <c r="D20" s="5">
        <v>9</v>
      </c>
    </row>
    <row r="21" spans="1:4" x14ac:dyDescent="0.25">
      <c r="A21" s="2" t="s">
        <v>135</v>
      </c>
      <c r="B21" s="2">
        <v>2023</v>
      </c>
      <c r="C21" s="8">
        <v>85.8</v>
      </c>
      <c r="D21" s="3">
        <v>12.1</v>
      </c>
    </row>
    <row r="22" spans="1:4" x14ac:dyDescent="0.25">
      <c r="A22" s="4" t="s">
        <v>135</v>
      </c>
      <c r="B22" s="4">
        <v>2023</v>
      </c>
      <c r="C22" s="9">
        <v>90.6</v>
      </c>
      <c r="D22" s="5">
        <v>16.899999999999999</v>
      </c>
    </row>
    <row r="23" spans="1:4" x14ac:dyDescent="0.25">
      <c r="A23" s="2" t="s">
        <v>135</v>
      </c>
      <c r="B23" s="2">
        <v>2023</v>
      </c>
      <c r="C23" s="8">
        <v>95.3</v>
      </c>
      <c r="D23" s="3">
        <v>25.6</v>
      </c>
    </row>
    <row r="24" spans="1:4" x14ac:dyDescent="0.25">
      <c r="A24" s="4" t="s">
        <v>135</v>
      </c>
      <c r="B24" s="4">
        <v>2023</v>
      </c>
      <c r="C24" s="9">
        <v>100</v>
      </c>
      <c r="D24" s="5">
        <v>100</v>
      </c>
    </row>
    <row r="25" spans="1:4" x14ac:dyDescent="0.25">
      <c r="A25" s="2" t="s">
        <v>135</v>
      </c>
      <c r="B25" s="2">
        <v>2024</v>
      </c>
      <c r="C25" s="8">
        <v>0.8</v>
      </c>
      <c r="D25" s="3">
        <v>0</v>
      </c>
    </row>
    <row r="26" spans="1:4" x14ac:dyDescent="0.25">
      <c r="A26" s="4" t="s">
        <v>135</v>
      </c>
      <c r="B26" s="4">
        <v>2024</v>
      </c>
      <c r="C26" s="9">
        <v>5.3</v>
      </c>
      <c r="D26" s="5">
        <v>0</v>
      </c>
    </row>
    <row r="27" spans="1:4" x14ac:dyDescent="0.25">
      <c r="A27" s="2" t="s">
        <v>135</v>
      </c>
      <c r="B27" s="2">
        <v>2024</v>
      </c>
      <c r="C27" s="8">
        <v>9.9</v>
      </c>
      <c r="D27" s="3">
        <v>0</v>
      </c>
    </row>
    <row r="28" spans="1:4" x14ac:dyDescent="0.25">
      <c r="A28" s="4" t="s">
        <v>135</v>
      </c>
      <c r="B28" s="4">
        <v>2024</v>
      </c>
      <c r="C28" s="9">
        <v>14.5</v>
      </c>
      <c r="D28" s="5">
        <v>0</v>
      </c>
    </row>
    <row r="29" spans="1:4" x14ac:dyDescent="0.25">
      <c r="A29" s="2" t="s">
        <v>135</v>
      </c>
      <c r="B29" s="2">
        <v>2024</v>
      </c>
      <c r="C29" s="8">
        <v>19.100000000000001</v>
      </c>
      <c r="D29" s="3">
        <v>0</v>
      </c>
    </row>
    <row r="30" spans="1:4" x14ac:dyDescent="0.25">
      <c r="A30" s="4" t="s">
        <v>135</v>
      </c>
      <c r="B30" s="4">
        <v>2024</v>
      </c>
      <c r="C30" s="9">
        <v>23.7</v>
      </c>
      <c r="D30" s="5">
        <v>0.1</v>
      </c>
    </row>
    <row r="31" spans="1:4" x14ac:dyDescent="0.25">
      <c r="A31" s="2" t="s">
        <v>135</v>
      </c>
      <c r="B31" s="2">
        <v>2024</v>
      </c>
      <c r="C31" s="8">
        <v>28.2</v>
      </c>
      <c r="D31" s="3">
        <v>0.1</v>
      </c>
    </row>
    <row r="32" spans="1:4" x14ac:dyDescent="0.25">
      <c r="A32" s="4" t="s">
        <v>135</v>
      </c>
      <c r="B32" s="4">
        <v>2024</v>
      </c>
      <c r="C32" s="9">
        <v>32.799999999999997</v>
      </c>
      <c r="D32" s="5">
        <v>0.2</v>
      </c>
    </row>
    <row r="33" spans="1:4" x14ac:dyDescent="0.25">
      <c r="A33" s="2" t="s">
        <v>135</v>
      </c>
      <c r="B33" s="2">
        <v>2024</v>
      </c>
      <c r="C33" s="8">
        <v>37.4</v>
      </c>
      <c r="D33" s="3">
        <v>0.3</v>
      </c>
    </row>
    <row r="34" spans="1:4" x14ac:dyDescent="0.25">
      <c r="A34" s="4" t="s">
        <v>135</v>
      </c>
      <c r="B34" s="4">
        <v>2024</v>
      </c>
      <c r="C34" s="9">
        <v>42</v>
      </c>
      <c r="D34" s="5">
        <v>0.4</v>
      </c>
    </row>
    <row r="35" spans="1:4" x14ac:dyDescent="0.25">
      <c r="A35" s="2" t="s">
        <v>135</v>
      </c>
      <c r="B35" s="2">
        <v>2024</v>
      </c>
      <c r="C35" s="8">
        <v>46.6</v>
      </c>
      <c r="D35" s="3">
        <v>0.6</v>
      </c>
    </row>
    <row r="36" spans="1:4" x14ac:dyDescent="0.25">
      <c r="A36" s="4" t="s">
        <v>135</v>
      </c>
      <c r="B36" s="4">
        <v>2024</v>
      </c>
      <c r="C36" s="9">
        <v>51.1</v>
      </c>
      <c r="D36" s="5">
        <v>0.9</v>
      </c>
    </row>
    <row r="37" spans="1:4" x14ac:dyDescent="0.25">
      <c r="A37" s="2" t="s">
        <v>135</v>
      </c>
      <c r="B37" s="2">
        <v>2024</v>
      </c>
      <c r="C37" s="8">
        <v>55.7</v>
      </c>
      <c r="D37" s="3">
        <v>1.2</v>
      </c>
    </row>
    <row r="38" spans="1:4" x14ac:dyDescent="0.25">
      <c r="A38" s="4" t="s">
        <v>135</v>
      </c>
      <c r="B38" s="4">
        <v>2024</v>
      </c>
      <c r="C38" s="9">
        <v>60.3</v>
      </c>
      <c r="D38" s="5">
        <v>1.7</v>
      </c>
    </row>
    <row r="39" spans="1:4" x14ac:dyDescent="0.25">
      <c r="A39" s="2" t="s">
        <v>135</v>
      </c>
      <c r="B39" s="2">
        <v>2024</v>
      </c>
      <c r="C39" s="8">
        <v>64.900000000000006</v>
      </c>
      <c r="D39" s="3">
        <v>2.5</v>
      </c>
    </row>
    <row r="40" spans="1:4" x14ac:dyDescent="0.25">
      <c r="A40" s="4" t="s">
        <v>135</v>
      </c>
      <c r="B40" s="4">
        <v>2024</v>
      </c>
      <c r="C40" s="9">
        <v>69.5</v>
      </c>
      <c r="D40" s="5">
        <v>3.6</v>
      </c>
    </row>
    <row r="41" spans="1:4" x14ac:dyDescent="0.25">
      <c r="A41" s="2" t="s">
        <v>135</v>
      </c>
      <c r="B41" s="2">
        <v>2024</v>
      </c>
      <c r="C41" s="8">
        <v>74</v>
      </c>
      <c r="D41" s="3">
        <v>5.2</v>
      </c>
    </row>
    <row r="42" spans="1:4" x14ac:dyDescent="0.25">
      <c r="A42" s="4" t="s">
        <v>135</v>
      </c>
      <c r="B42" s="4">
        <v>2024</v>
      </c>
      <c r="C42" s="9">
        <v>78.599999999999994</v>
      </c>
      <c r="D42" s="5">
        <v>7.4</v>
      </c>
    </row>
    <row r="43" spans="1:4" x14ac:dyDescent="0.25">
      <c r="A43" s="2" t="s">
        <v>135</v>
      </c>
      <c r="B43" s="2">
        <v>2024</v>
      </c>
      <c r="C43" s="8">
        <v>83.2</v>
      </c>
      <c r="D43" s="3">
        <v>10.199999999999999</v>
      </c>
    </row>
    <row r="44" spans="1:4" x14ac:dyDescent="0.25">
      <c r="A44" s="4" t="s">
        <v>135</v>
      </c>
      <c r="B44" s="4">
        <v>2024</v>
      </c>
      <c r="C44" s="9">
        <v>87.8</v>
      </c>
      <c r="D44" s="5">
        <v>14.1</v>
      </c>
    </row>
    <row r="45" spans="1:4" x14ac:dyDescent="0.25">
      <c r="A45" s="2" t="s">
        <v>135</v>
      </c>
      <c r="B45" s="2">
        <v>2024</v>
      </c>
      <c r="C45" s="8">
        <v>92.4</v>
      </c>
      <c r="D45" s="3">
        <v>20</v>
      </c>
    </row>
    <row r="46" spans="1:4" x14ac:dyDescent="0.25">
      <c r="A46" s="4" t="s">
        <v>135</v>
      </c>
      <c r="B46" s="4">
        <v>2024</v>
      </c>
      <c r="C46" s="9">
        <v>96.9</v>
      </c>
      <c r="D46" s="5">
        <v>31.2</v>
      </c>
    </row>
    <row r="47" spans="1:4" x14ac:dyDescent="0.25">
      <c r="A47" s="2" t="s">
        <v>135</v>
      </c>
      <c r="B47" s="2">
        <v>2024</v>
      </c>
      <c r="C47" s="8">
        <v>100</v>
      </c>
      <c r="D47" s="3">
        <v>100</v>
      </c>
    </row>
    <row r="48" spans="1:4" x14ac:dyDescent="0.25">
      <c r="A48" s="4" t="s">
        <v>135</v>
      </c>
      <c r="B48" s="4">
        <v>2025</v>
      </c>
      <c r="C48" s="9">
        <v>0.8</v>
      </c>
      <c r="D48" s="5">
        <v>0</v>
      </c>
    </row>
    <row r="49" spans="1:4" x14ac:dyDescent="0.25">
      <c r="A49" s="2" t="s">
        <v>135</v>
      </c>
      <c r="B49" s="2">
        <v>2025</v>
      </c>
      <c r="C49" s="8">
        <v>5.6</v>
      </c>
      <c r="D49" s="3">
        <v>0</v>
      </c>
    </row>
    <row r="50" spans="1:4" x14ac:dyDescent="0.25">
      <c r="A50" s="4" t="s">
        <v>135</v>
      </c>
      <c r="B50" s="4">
        <v>2025</v>
      </c>
      <c r="C50" s="9">
        <v>10.3</v>
      </c>
      <c r="D50" s="5">
        <v>0</v>
      </c>
    </row>
    <row r="51" spans="1:4" x14ac:dyDescent="0.25">
      <c r="A51" s="2" t="s">
        <v>135</v>
      </c>
      <c r="B51" s="2">
        <v>2025</v>
      </c>
      <c r="C51" s="8">
        <v>15.1</v>
      </c>
      <c r="D51" s="3">
        <v>0</v>
      </c>
    </row>
    <row r="52" spans="1:4" x14ac:dyDescent="0.25">
      <c r="A52" s="4" t="s">
        <v>135</v>
      </c>
      <c r="B52" s="4">
        <v>2025</v>
      </c>
      <c r="C52" s="9">
        <v>19.8</v>
      </c>
      <c r="D52" s="5">
        <v>0.1</v>
      </c>
    </row>
    <row r="53" spans="1:4" x14ac:dyDescent="0.25">
      <c r="A53" s="2" t="s">
        <v>135</v>
      </c>
      <c r="B53" s="2">
        <v>2025</v>
      </c>
      <c r="C53" s="8">
        <v>24.6</v>
      </c>
      <c r="D53" s="3">
        <v>0.1</v>
      </c>
    </row>
    <row r="54" spans="1:4" x14ac:dyDescent="0.25">
      <c r="A54" s="4" t="s">
        <v>135</v>
      </c>
      <c r="B54" s="4">
        <v>2025</v>
      </c>
      <c r="C54" s="9">
        <v>29.4</v>
      </c>
      <c r="D54" s="5">
        <v>0.2</v>
      </c>
    </row>
    <row r="55" spans="1:4" x14ac:dyDescent="0.25">
      <c r="A55" s="2" t="s">
        <v>135</v>
      </c>
      <c r="B55" s="2">
        <v>2025</v>
      </c>
      <c r="C55" s="8">
        <v>34.1</v>
      </c>
      <c r="D55" s="3">
        <v>0.3</v>
      </c>
    </row>
    <row r="56" spans="1:4" x14ac:dyDescent="0.25">
      <c r="A56" s="4" t="s">
        <v>135</v>
      </c>
      <c r="B56" s="4">
        <v>2025</v>
      </c>
      <c r="C56" s="9">
        <v>38.9</v>
      </c>
      <c r="D56" s="5">
        <v>0.5</v>
      </c>
    </row>
    <row r="57" spans="1:4" x14ac:dyDescent="0.25">
      <c r="A57" s="2" t="s">
        <v>135</v>
      </c>
      <c r="B57" s="2">
        <v>2025</v>
      </c>
      <c r="C57" s="8">
        <v>43.7</v>
      </c>
      <c r="D57" s="3">
        <v>0.8</v>
      </c>
    </row>
    <row r="58" spans="1:4" x14ac:dyDescent="0.25">
      <c r="A58" s="4" t="s">
        <v>135</v>
      </c>
      <c r="B58" s="4">
        <v>2025</v>
      </c>
      <c r="C58" s="9">
        <v>48.4</v>
      </c>
      <c r="D58" s="5">
        <v>1.1000000000000001</v>
      </c>
    </row>
    <row r="59" spans="1:4" x14ac:dyDescent="0.25">
      <c r="A59" s="2" t="s">
        <v>135</v>
      </c>
      <c r="B59" s="2">
        <v>2025</v>
      </c>
      <c r="C59" s="8">
        <v>53.2</v>
      </c>
      <c r="D59" s="3">
        <v>1.5</v>
      </c>
    </row>
    <row r="60" spans="1:4" x14ac:dyDescent="0.25">
      <c r="A60" s="4" t="s">
        <v>135</v>
      </c>
      <c r="B60" s="4">
        <v>2025</v>
      </c>
      <c r="C60" s="9">
        <v>57.9</v>
      </c>
      <c r="D60" s="5">
        <v>2.1</v>
      </c>
    </row>
    <row r="61" spans="1:4" x14ac:dyDescent="0.25">
      <c r="A61" s="2" t="s">
        <v>135</v>
      </c>
      <c r="B61" s="2">
        <v>2025</v>
      </c>
      <c r="C61" s="8">
        <v>62.7</v>
      </c>
      <c r="D61" s="3">
        <v>3.2</v>
      </c>
    </row>
    <row r="62" spans="1:4" x14ac:dyDescent="0.25">
      <c r="A62" s="4" t="s">
        <v>135</v>
      </c>
      <c r="B62" s="4">
        <v>2025</v>
      </c>
      <c r="C62" s="9">
        <v>67.5</v>
      </c>
      <c r="D62" s="5">
        <v>4.7</v>
      </c>
    </row>
    <row r="63" spans="1:4" x14ac:dyDescent="0.25">
      <c r="A63" s="2" t="s">
        <v>135</v>
      </c>
      <c r="B63" s="2">
        <v>2025</v>
      </c>
      <c r="C63" s="8">
        <v>72.2</v>
      </c>
      <c r="D63" s="3">
        <v>6.7</v>
      </c>
    </row>
    <row r="64" spans="1:4" x14ac:dyDescent="0.25">
      <c r="A64" s="4" t="s">
        <v>135</v>
      </c>
      <c r="B64" s="4">
        <v>2025</v>
      </c>
      <c r="C64" s="9">
        <v>77</v>
      </c>
      <c r="D64" s="5">
        <v>9.3000000000000007</v>
      </c>
    </row>
    <row r="65" spans="1:4" x14ac:dyDescent="0.25">
      <c r="A65" s="2" t="s">
        <v>135</v>
      </c>
      <c r="B65" s="2">
        <v>2025</v>
      </c>
      <c r="C65" s="8">
        <v>81.7</v>
      </c>
      <c r="D65" s="3">
        <v>12.7</v>
      </c>
    </row>
    <row r="66" spans="1:4" x14ac:dyDescent="0.25">
      <c r="A66" s="4" t="s">
        <v>135</v>
      </c>
      <c r="B66" s="4">
        <v>2025</v>
      </c>
      <c r="C66" s="9">
        <v>86.5</v>
      </c>
      <c r="D66" s="5">
        <v>17.600000000000001</v>
      </c>
    </row>
    <row r="67" spans="1:4" x14ac:dyDescent="0.25">
      <c r="A67" s="2" t="s">
        <v>135</v>
      </c>
      <c r="B67" s="2">
        <v>2025</v>
      </c>
      <c r="C67" s="8">
        <v>91.3</v>
      </c>
      <c r="D67" s="3">
        <v>24.9</v>
      </c>
    </row>
    <row r="68" spans="1:4" x14ac:dyDescent="0.25">
      <c r="A68" s="4" t="s">
        <v>135</v>
      </c>
      <c r="B68" s="4">
        <v>2025</v>
      </c>
      <c r="C68" s="9">
        <v>96</v>
      </c>
      <c r="D68" s="5">
        <v>38.9</v>
      </c>
    </row>
    <row r="69" spans="1:4" x14ac:dyDescent="0.25">
      <c r="A69" s="2" t="s">
        <v>135</v>
      </c>
      <c r="B69" s="2">
        <v>2025</v>
      </c>
      <c r="C69" s="8">
        <v>100</v>
      </c>
      <c r="D69" s="3">
        <v>100</v>
      </c>
    </row>
    <row r="70" spans="1:4" x14ac:dyDescent="0.25">
      <c r="A70" s="4" t="s">
        <v>136</v>
      </c>
      <c r="B70" s="4">
        <v>2023</v>
      </c>
      <c r="C70" s="9">
        <v>1</v>
      </c>
      <c r="D70" s="5">
        <v>0</v>
      </c>
    </row>
    <row r="71" spans="1:4" x14ac:dyDescent="0.25">
      <c r="A71" s="2" t="s">
        <v>136</v>
      </c>
      <c r="B71" s="2">
        <v>2023</v>
      </c>
      <c r="C71" s="8">
        <v>5.9</v>
      </c>
      <c r="D71" s="3">
        <v>0</v>
      </c>
    </row>
    <row r="72" spans="1:4" x14ac:dyDescent="0.25">
      <c r="A72" s="4" t="s">
        <v>136</v>
      </c>
      <c r="B72" s="4">
        <v>2023</v>
      </c>
      <c r="C72" s="9">
        <v>10.8</v>
      </c>
      <c r="D72" s="5">
        <v>0</v>
      </c>
    </row>
    <row r="73" spans="1:4" x14ac:dyDescent="0.25">
      <c r="A73" s="2" t="s">
        <v>136</v>
      </c>
      <c r="B73" s="2">
        <v>2023</v>
      </c>
      <c r="C73" s="8">
        <v>15.7</v>
      </c>
      <c r="D73" s="3">
        <v>0</v>
      </c>
    </row>
    <row r="74" spans="1:4" x14ac:dyDescent="0.25">
      <c r="A74" s="4" t="s">
        <v>136</v>
      </c>
      <c r="B74" s="4">
        <v>2023</v>
      </c>
      <c r="C74" s="9">
        <v>20.6</v>
      </c>
      <c r="D74" s="5">
        <v>0</v>
      </c>
    </row>
    <row r="75" spans="1:4" x14ac:dyDescent="0.25">
      <c r="A75" s="2" t="s">
        <v>136</v>
      </c>
      <c r="B75" s="2">
        <v>2023</v>
      </c>
      <c r="C75" s="8">
        <v>25.5</v>
      </c>
      <c r="D75" s="3">
        <v>0</v>
      </c>
    </row>
    <row r="76" spans="1:4" x14ac:dyDescent="0.25">
      <c r="A76" s="4" t="s">
        <v>136</v>
      </c>
      <c r="B76" s="4">
        <v>2023</v>
      </c>
      <c r="C76" s="9">
        <v>30.4</v>
      </c>
      <c r="D76" s="5">
        <v>0.1</v>
      </c>
    </row>
    <row r="77" spans="1:4" x14ac:dyDescent="0.25">
      <c r="A77" s="2" t="s">
        <v>136</v>
      </c>
      <c r="B77" s="2">
        <v>2023</v>
      </c>
      <c r="C77" s="8">
        <v>35.299999999999997</v>
      </c>
      <c r="D77" s="3">
        <v>0.1</v>
      </c>
    </row>
    <row r="78" spans="1:4" x14ac:dyDescent="0.25">
      <c r="A78" s="4" t="s">
        <v>136</v>
      </c>
      <c r="B78" s="4">
        <v>2023</v>
      </c>
      <c r="C78" s="9">
        <v>40.200000000000003</v>
      </c>
      <c r="D78" s="5">
        <v>0.2</v>
      </c>
    </row>
    <row r="79" spans="1:4" x14ac:dyDescent="0.25">
      <c r="A79" s="2" t="s">
        <v>136</v>
      </c>
      <c r="B79" s="2">
        <v>2023</v>
      </c>
      <c r="C79" s="8">
        <v>45.1</v>
      </c>
      <c r="D79" s="3">
        <v>0.3</v>
      </c>
    </row>
    <row r="80" spans="1:4" x14ac:dyDescent="0.25">
      <c r="A80" s="4" t="s">
        <v>136</v>
      </c>
      <c r="B80" s="4">
        <v>2023</v>
      </c>
      <c r="C80" s="9">
        <v>50</v>
      </c>
      <c r="D80" s="5">
        <v>0.5</v>
      </c>
    </row>
    <row r="81" spans="1:4" x14ac:dyDescent="0.25">
      <c r="A81" s="2" t="s">
        <v>136</v>
      </c>
      <c r="B81" s="2">
        <v>2023</v>
      </c>
      <c r="C81" s="8">
        <v>54.9</v>
      </c>
      <c r="D81" s="3">
        <v>0.8</v>
      </c>
    </row>
    <row r="82" spans="1:4" x14ac:dyDescent="0.25">
      <c r="A82" s="4" t="s">
        <v>136</v>
      </c>
      <c r="B82" s="4">
        <v>2023</v>
      </c>
      <c r="C82" s="9">
        <v>59.8</v>
      </c>
      <c r="D82" s="5">
        <v>1.2</v>
      </c>
    </row>
    <row r="83" spans="1:4" x14ac:dyDescent="0.25">
      <c r="A83" s="2" t="s">
        <v>136</v>
      </c>
      <c r="B83" s="2">
        <v>2023</v>
      </c>
      <c r="C83" s="8">
        <v>64.7</v>
      </c>
      <c r="D83" s="3">
        <v>1.8</v>
      </c>
    </row>
    <row r="84" spans="1:4" x14ac:dyDescent="0.25">
      <c r="A84" s="4" t="s">
        <v>136</v>
      </c>
      <c r="B84" s="4">
        <v>2023</v>
      </c>
      <c r="C84" s="9">
        <v>69.599999999999994</v>
      </c>
      <c r="D84" s="5">
        <v>2.6</v>
      </c>
    </row>
    <row r="85" spans="1:4" x14ac:dyDescent="0.25">
      <c r="A85" s="2" t="s">
        <v>136</v>
      </c>
      <c r="B85" s="2">
        <v>2023</v>
      </c>
      <c r="C85" s="8">
        <v>74.5</v>
      </c>
      <c r="D85" s="3">
        <v>3.7</v>
      </c>
    </row>
    <row r="86" spans="1:4" x14ac:dyDescent="0.25">
      <c r="A86" s="4" t="s">
        <v>136</v>
      </c>
      <c r="B86" s="4">
        <v>2023</v>
      </c>
      <c r="C86" s="9">
        <v>79.400000000000006</v>
      </c>
      <c r="D86" s="5">
        <v>5</v>
      </c>
    </row>
    <row r="87" spans="1:4" x14ac:dyDescent="0.25">
      <c r="A87" s="2" t="s">
        <v>136</v>
      </c>
      <c r="B87" s="2">
        <v>2023</v>
      </c>
      <c r="C87" s="8">
        <v>84.3</v>
      </c>
      <c r="D87" s="3">
        <v>7.2</v>
      </c>
    </row>
    <row r="88" spans="1:4" x14ac:dyDescent="0.25">
      <c r="A88" s="4" t="s">
        <v>136</v>
      </c>
      <c r="B88" s="4">
        <v>2023</v>
      </c>
      <c r="C88" s="9">
        <v>89.2</v>
      </c>
      <c r="D88" s="5">
        <v>11.4</v>
      </c>
    </row>
    <row r="89" spans="1:4" x14ac:dyDescent="0.25">
      <c r="A89" s="2" t="s">
        <v>136</v>
      </c>
      <c r="B89" s="2">
        <v>2023</v>
      </c>
      <c r="C89" s="8">
        <v>94.1</v>
      </c>
      <c r="D89" s="3">
        <v>21.8</v>
      </c>
    </row>
    <row r="90" spans="1:4" x14ac:dyDescent="0.25">
      <c r="A90" s="4" t="s">
        <v>136</v>
      </c>
      <c r="B90" s="4">
        <v>2023</v>
      </c>
      <c r="C90" s="9">
        <v>99</v>
      </c>
      <c r="D90" s="5">
        <v>52.4</v>
      </c>
    </row>
    <row r="91" spans="1:4" x14ac:dyDescent="0.25">
      <c r="A91" s="2" t="s">
        <v>136</v>
      </c>
      <c r="B91" s="2">
        <v>2023</v>
      </c>
      <c r="C91" s="8">
        <v>100</v>
      </c>
      <c r="D91" s="3">
        <v>100</v>
      </c>
    </row>
    <row r="92" spans="1:4" x14ac:dyDescent="0.25">
      <c r="A92" s="4" t="s">
        <v>136</v>
      </c>
      <c r="B92" s="4">
        <v>2024</v>
      </c>
      <c r="C92" s="9">
        <v>0.9</v>
      </c>
      <c r="D92" s="5">
        <v>0</v>
      </c>
    </row>
    <row r="93" spans="1:4" x14ac:dyDescent="0.25">
      <c r="A93" s="2" t="s">
        <v>136</v>
      </c>
      <c r="B93" s="2">
        <v>2024</v>
      </c>
      <c r="C93" s="8">
        <v>5.7</v>
      </c>
      <c r="D93" s="3">
        <v>0</v>
      </c>
    </row>
    <row r="94" spans="1:4" x14ac:dyDescent="0.25">
      <c r="A94" s="4" t="s">
        <v>136</v>
      </c>
      <c r="B94" s="4">
        <v>2024</v>
      </c>
      <c r="C94" s="9">
        <v>10.4</v>
      </c>
      <c r="D94" s="5">
        <v>0</v>
      </c>
    </row>
    <row r="95" spans="1:4" x14ac:dyDescent="0.25">
      <c r="A95" s="2" t="s">
        <v>136</v>
      </c>
      <c r="B95" s="2">
        <v>2024</v>
      </c>
      <c r="C95" s="8">
        <v>15.1</v>
      </c>
      <c r="D95" s="3">
        <v>0</v>
      </c>
    </row>
    <row r="96" spans="1:4" x14ac:dyDescent="0.25">
      <c r="A96" s="4" t="s">
        <v>136</v>
      </c>
      <c r="B96" s="4">
        <v>2024</v>
      </c>
      <c r="C96" s="9">
        <v>19.8</v>
      </c>
      <c r="D96" s="5">
        <v>0</v>
      </c>
    </row>
    <row r="97" spans="1:4" x14ac:dyDescent="0.25">
      <c r="A97" s="2" t="s">
        <v>136</v>
      </c>
      <c r="B97" s="2">
        <v>2024</v>
      </c>
      <c r="C97" s="8">
        <v>24.5</v>
      </c>
      <c r="D97" s="3">
        <v>0.1</v>
      </c>
    </row>
    <row r="98" spans="1:4" x14ac:dyDescent="0.25">
      <c r="A98" s="4" t="s">
        <v>136</v>
      </c>
      <c r="B98" s="4">
        <v>2024</v>
      </c>
      <c r="C98" s="9">
        <v>29.2</v>
      </c>
      <c r="D98" s="5">
        <v>0.1</v>
      </c>
    </row>
    <row r="99" spans="1:4" x14ac:dyDescent="0.25">
      <c r="A99" s="2" t="s">
        <v>136</v>
      </c>
      <c r="B99" s="2">
        <v>2024</v>
      </c>
      <c r="C99" s="8">
        <v>34</v>
      </c>
      <c r="D99" s="3">
        <v>0.2</v>
      </c>
    </row>
    <row r="100" spans="1:4" x14ac:dyDescent="0.25">
      <c r="A100" s="4" t="s">
        <v>136</v>
      </c>
      <c r="B100" s="4">
        <v>2024</v>
      </c>
      <c r="C100" s="9">
        <v>38.700000000000003</v>
      </c>
      <c r="D100" s="5">
        <v>0.3</v>
      </c>
    </row>
    <row r="101" spans="1:4" x14ac:dyDescent="0.25">
      <c r="A101" s="2" t="s">
        <v>136</v>
      </c>
      <c r="B101" s="2">
        <v>2024</v>
      </c>
      <c r="C101" s="8">
        <v>43.4</v>
      </c>
      <c r="D101" s="3">
        <v>0.4</v>
      </c>
    </row>
    <row r="102" spans="1:4" x14ac:dyDescent="0.25">
      <c r="A102" s="4" t="s">
        <v>136</v>
      </c>
      <c r="B102" s="4">
        <v>2024</v>
      </c>
      <c r="C102" s="9">
        <v>48.1</v>
      </c>
      <c r="D102" s="5">
        <v>0.6</v>
      </c>
    </row>
    <row r="103" spans="1:4" x14ac:dyDescent="0.25">
      <c r="A103" s="2" t="s">
        <v>136</v>
      </c>
      <c r="B103" s="2">
        <v>2024</v>
      </c>
      <c r="C103" s="8">
        <v>52.8</v>
      </c>
      <c r="D103" s="3">
        <v>0.8</v>
      </c>
    </row>
    <row r="104" spans="1:4" x14ac:dyDescent="0.25">
      <c r="A104" s="4" t="s">
        <v>136</v>
      </c>
      <c r="B104" s="4">
        <v>2024</v>
      </c>
      <c r="C104" s="9">
        <v>57.5</v>
      </c>
      <c r="D104" s="5">
        <v>1.1000000000000001</v>
      </c>
    </row>
    <row r="105" spans="1:4" x14ac:dyDescent="0.25">
      <c r="A105" s="2" t="s">
        <v>136</v>
      </c>
      <c r="B105" s="2">
        <v>2024</v>
      </c>
      <c r="C105" s="8">
        <v>62.3</v>
      </c>
      <c r="D105" s="3">
        <v>1.6</v>
      </c>
    </row>
    <row r="106" spans="1:4" x14ac:dyDescent="0.25">
      <c r="A106" s="4" t="s">
        <v>136</v>
      </c>
      <c r="B106" s="4">
        <v>2024</v>
      </c>
      <c r="C106" s="9">
        <v>67</v>
      </c>
      <c r="D106" s="5">
        <v>2.1</v>
      </c>
    </row>
    <row r="107" spans="1:4" x14ac:dyDescent="0.25">
      <c r="A107" s="2" t="s">
        <v>136</v>
      </c>
      <c r="B107" s="2">
        <v>2024</v>
      </c>
      <c r="C107" s="8">
        <v>71.7</v>
      </c>
      <c r="D107" s="3">
        <v>3.3</v>
      </c>
    </row>
    <row r="108" spans="1:4" x14ac:dyDescent="0.25">
      <c r="A108" s="4" t="s">
        <v>136</v>
      </c>
      <c r="B108" s="4">
        <v>2024</v>
      </c>
      <c r="C108" s="9">
        <v>76.400000000000006</v>
      </c>
      <c r="D108" s="5">
        <v>4.8</v>
      </c>
    </row>
    <row r="109" spans="1:4" x14ac:dyDescent="0.25">
      <c r="A109" s="2" t="s">
        <v>136</v>
      </c>
      <c r="B109" s="2">
        <v>2024</v>
      </c>
      <c r="C109" s="8">
        <v>81.099999999999994</v>
      </c>
      <c r="D109" s="3">
        <v>6.5</v>
      </c>
    </row>
    <row r="110" spans="1:4" x14ac:dyDescent="0.25">
      <c r="A110" s="4" t="s">
        <v>136</v>
      </c>
      <c r="B110" s="4">
        <v>2024</v>
      </c>
      <c r="C110" s="9">
        <v>85.8</v>
      </c>
      <c r="D110" s="5">
        <v>8.6999999999999993</v>
      </c>
    </row>
    <row r="111" spans="1:4" x14ac:dyDescent="0.25">
      <c r="A111" s="2" t="s">
        <v>136</v>
      </c>
      <c r="B111" s="2">
        <v>2024</v>
      </c>
      <c r="C111" s="8">
        <v>90.6</v>
      </c>
      <c r="D111" s="3">
        <v>13.6</v>
      </c>
    </row>
    <row r="112" spans="1:4" x14ac:dyDescent="0.25">
      <c r="A112" s="4" t="s">
        <v>136</v>
      </c>
      <c r="B112" s="4">
        <v>2024</v>
      </c>
      <c r="C112" s="9">
        <v>95.3</v>
      </c>
      <c r="D112" s="5">
        <v>24.4</v>
      </c>
    </row>
    <row r="113" spans="1:4" x14ac:dyDescent="0.25">
      <c r="A113" s="2" t="s">
        <v>136</v>
      </c>
      <c r="B113" s="2">
        <v>2024</v>
      </c>
      <c r="C113" s="8">
        <v>100</v>
      </c>
      <c r="D113" s="3">
        <v>100</v>
      </c>
    </row>
    <row r="114" spans="1:4" x14ac:dyDescent="0.25">
      <c r="A114" s="4" t="s">
        <v>136</v>
      </c>
      <c r="B114" s="4">
        <v>2025</v>
      </c>
      <c r="C114" s="9">
        <v>1</v>
      </c>
      <c r="D114" s="5">
        <v>0</v>
      </c>
    </row>
    <row r="115" spans="1:4" x14ac:dyDescent="0.25">
      <c r="A115" s="2" t="s">
        <v>136</v>
      </c>
      <c r="B115" s="2">
        <v>2025</v>
      </c>
      <c r="C115" s="8">
        <v>5.7</v>
      </c>
      <c r="D115" s="3">
        <v>0</v>
      </c>
    </row>
    <row r="116" spans="1:4" x14ac:dyDescent="0.25">
      <c r="A116" s="4" t="s">
        <v>136</v>
      </c>
      <c r="B116" s="4">
        <v>2025</v>
      </c>
      <c r="C116" s="9">
        <v>10.5</v>
      </c>
      <c r="D116" s="5">
        <v>0</v>
      </c>
    </row>
    <row r="117" spans="1:4" x14ac:dyDescent="0.25">
      <c r="A117" s="2" t="s">
        <v>136</v>
      </c>
      <c r="B117" s="2">
        <v>2025</v>
      </c>
      <c r="C117" s="8">
        <v>15.2</v>
      </c>
      <c r="D117" s="3">
        <v>0</v>
      </c>
    </row>
    <row r="118" spans="1:4" x14ac:dyDescent="0.25">
      <c r="A118" s="4" t="s">
        <v>136</v>
      </c>
      <c r="B118" s="4">
        <v>2025</v>
      </c>
      <c r="C118" s="9">
        <v>20</v>
      </c>
      <c r="D118" s="5">
        <v>0</v>
      </c>
    </row>
    <row r="119" spans="1:4" x14ac:dyDescent="0.25">
      <c r="A119" s="2" t="s">
        <v>136</v>
      </c>
      <c r="B119" s="2">
        <v>2025</v>
      </c>
      <c r="C119" s="8">
        <v>24.8</v>
      </c>
      <c r="D119" s="3">
        <v>0</v>
      </c>
    </row>
    <row r="120" spans="1:4" x14ac:dyDescent="0.25">
      <c r="A120" s="4" t="s">
        <v>136</v>
      </c>
      <c r="B120" s="4">
        <v>2025</v>
      </c>
      <c r="C120" s="9">
        <v>29.5</v>
      </c>
      <c r="D120" s="5">
        <v>0.1</v>
      </c>
    </row>
    <row r="121" spans="1:4" x14ac:dyDescent="0.25">
      <c r="A121" s="2" t="s">
        <v>136</v>
      </c>
      <c r="B121" s="2">
        <v>2025</v>
      </c>
      <c r="C121" s="8">
        <v>34.299999999999997</v>
      </c>
      <c r="D121" s="3">
        <v>0.2</v>
      </c>
    </row>
    <row r="122" spans="1:4" x14ac:dyDescent="0.25">
      <c r="A122" s="4" t="s">
        <v>136</v>
      </c>
      <c r="B122" s="4">
        <v>2025</v>
      </c>
      <c r="C122" s="9">
        <v>39</v>
      </c>
      <c r="D122" s="5">
        <v>0.3</v>
      </c>
    </row>
    <row r="123" spans="1:4" x14ac:dyDescent="0.25">
      <c r="A123" s="2" t="s">
        <v>136</v>
      </c>
      <c r="B123" s="2">
        <v>2025</v>
      </c>
      <c r="C123" s="8">
        <v>43.8</v>
      </c>
      <c r="D123" s="3">
        <v>0.4</v>
      </c>
    </row>
    <row r="124" spans="1:4" x14ac:dyDescent="0.25">
      <c r="A124" s="4" t="s">
        <v>136</v>
      </c>
      <c r="B124" s="4">
        <v>2025</v>
      </c>
      <c r="C124" s="9">
        <v>48.6</v>
      </c>
      <c r="D124" s="5">
        <v>0.5</v>
      </c>
    </row>
    <row r="125" spans="1:4" x14ac:dyDescent="0.25">
      <c r="A125" s="2" t="s">
        <v>136</v>
      </c>
      <c r="B125" s="2">
        <v>2025</v>
      </c>
      <c r="C125" s="8">
        <v>53.3</v>
      </c>
      <c r="D125" s="3">
        <v>0.8</v>
      </c>
    </row>
    <row r="126" spans="1:4" x14ac:dyDescent="0.25">
      <c r="A126" s="4" t="s">
        <v>136</v>
      </c>
      <c r="B126" s="4">
        <v>2025</v>
      </c>
      <c r="C126" s="9">
        <v>58.1</v>
      </c>
      <c r="D126" s="5">
        <v>1.2</v>
      </c>
    </row>
    <row r="127" spans="1:4" x14ac:dyDescent="0.25">
      <c r="A127" s="2" t="s">
        <v>136</v>
      </c>
      <c r="B127" s="2">
        <v>2025</v>
      </c>
      <c r="C127" s="8">
        <v>62.9</v>
      </c>
      <c r="D127" s="3">
        <v>1.6</v>
      </c>
    </row>
    <row r="128" spans="1:4" x14ac:dyDescent="0.25">
      <c r="A128" s="4" t="s">
        <v>136</v>
      </c>
      <c r="B128" s="4">
        <v>2025</v>
      </c>
      <c r="C128" s="9">
        <v>67.599999999999994</v>
      </c>
      <c r="D128" s="5">
        <v>2.2999999999999998</v>
      </c>
    </row>
    <row r="129" spans="1:4" x14ac:dyDescent="0.25">
      <c r="A129" s="2" t="s">
        <v>136</v>
      </c>
      <c r="B129" s="2">
        <v>2025</v>
      </c>
      <c r="C129" s="8">
        <v>72.400000000000006</v>
      </c>
      <c r="D129" s="3">
        <v>3.3</v>
      </c>
    </row>
    <row r="130" spans="1:4" x14ac:dyDescent="0.25">
      <c r="A130" s="4" t="s">
        <v>136</v>
      </c>
      <c r="B130" s="4">
        <v>2025</v>
      </c>
      <c r="C130" s="9">
        <v>77.099999999999994</v>
      </c>
      <c r="D130" s="5">
        <v>4.7</v>
      </c>
    </row>
    <row r="131" spans="1:4" x14ac:dyDescent="0.25">
      <c r="A131" s="2" t="s">
        <v>136</v>
      </c>
      <c r="B131" s="2">
        <v>2025</v>
      </c>
      <c r="C131" s="8">
        <v>81.900000000000006</v>
      </c>
      <c r="D131" s="3">
        <v>6.9</v>
      </c>
    </row>
    <row r="132" spans="1:4" x14ac:dyDescent="0.25">
      <c r="A132" s="4" t="s">
        <v>136</v>
      </c>
      <c r="B132" s="4">
        <v>2025</v>
      </c>
      <c r="C132" s="9">
        <v>86.7</v>
      </c>
      <c r="D132" s="5">
        <v>10.4</v>
      </c>
    </row>
    <row r="133" spans="1:4" x14ac:dyDescent="0.25">
      <c r="A133" s="2" t="s">
        <v>136</v>
      </c>
      <c r="B133" s="2">
        <v>2025</v>
      </c>
      <c r="C133" s="8">
        <v>91.4</v>
      </c>
      <c r="D133" s="3">
        <v>17.8</v>
      </c>
    </row>
    <row r="134" spans="1:4" x14ac:dyDescent="0.25">
      <c r="A134" s="4" t="s">
        <v>136</v>
      </c>
      <c r="B134" s="4">
        <v>2025</v>
      </c>
      <c r="C134" s="9">
        <v>96.2</v>
      </c>
      <c r="D134" s="5">
        <v>35.1</v>
      </c>
    </row>
    <row r="135" spans="1:4" x14ac:dyDescent="0.25">
      <c r="A135" s="2" t="s">
        <v>136</v>
      </c>
      <c r="B135" s="2">
        <v>2025</v>
      </c>
      <c r="C135" s="8">
        <v>100</v>
      </c>
      <c r="D135" s="3">
        <v>100</v>
      </c>
    </row>
    <row r="136" spans="1:4" x14ac:dyDescent="0.25">
      <c r="A136" s="4" t="s">
        <v>134</v>
      </c>
      <c r="B136" s="4">
        <v>2023</v>
      </c>
      <c r="C136" s="9">
        <v>2.1</v>
      </c>
      <c r="D136" s="5">
        <v>0</v>
      </c>
    </row>
    <row r="137" spans="1:4" x14ac:dyDescent="0.25">
      <c r="A137" s="2" t="s">
        <v>134</v>
      </c>
      <c r="B137" s="2">
        <v>2023</v>
      </c>
      <c r="C137" s="8">
        <v>6.2</v>
      </c>
      <c r="D137" s="3">
        <v>0</v>
      </c>
    </row>
    <row r="138" spans="1:4" x14ac:dyDescent="0.25">
      <c r="A138" s="4" t="s">
        <v>134</v>
      </c>
      <c r="B138" s="4">
        <v>2023</v>
      </c>
      <c r="C138" s="9">
        <v>10.4</v>
      </c>
      <c r="D138" s="5">
        <v>0</v>
      </c>
    </row>
    <row r="139" spans="1:4" x14ac:dyDescent="0.25">
      <c r="A139" s="2" t="s">
        <v>134</v>
      </c>
      <c r="B139" s="2">
        <v>2023</v>
      </c>
      <c r="C139" s="8">
        <v>14.6</v>
      </c>
      <c r="D139" s="3">
        <v>0</v>
      </c>
    </row>
    <row r="140" spans="1:4" x14ac:dyDescent="0.25">
      <c r="A140" s="4" t="s">
        <v>134</v>
      </c>
      <c r="B140" s="4">
        <v>2023</v>
      </c>
      <c r="C140" s="9">
        <v>18.8</v>
      </c>
      <c r="D140" s="5">
        <v>0</v>
      </c>
    </row>
    <row r="141" spans="1:4" x14ac:dyDescent="0.25">
      <c r="A141" s="2" t="s">
        <v>134</v>
      </c>
      <c r="B141" s="2">
        <v>2023</v>
      </c>
      <c r="C141" s="8">
        <v>22.9</v>
      </c>
      <c r="D141" s="3">
        <v>0</v>
      </c>
    </row>
    <row r="142" spans="1:4" x14ac:dyDescent="0.25">
      <c r="A142" s="4" t="s">
        <v>134</v>
      </c>
      <c r="B142" s="4">
        <v>2023</v>
      </c>
      <c r="C142" s="9">
        <v>27.1</v>
      </c>
      <c r="D142" s="5">
        <v>0</v>
      </c>
    </row>
    <row r="143" spans="1:4" x14ac:dyDescent="0.25">
      <c r="A143" s="2" t="s">
        <v>134</v>
      </c>
      <c r="B143" s="2">
        <v>2023</v>
      </c>
      <c r="C143" s="8">
        <v>31.2</v>
      </c>
      <c r="D143" s="3">
        <v>0</v>
      </c>
    </row>
    <row r="144" spans="1:4" x14ac:dyDescent="0.25">
      <c r="A144" s="4" t="s">
        <v>134</v>
      </c>
      <c r="B144" s="4">
        <v>2023</v>
      </c>
      <c r="C144" s="9">
        <v>35.4</v>
      </c>
      <c r="D144" s="5">
        <v>0.1</v>
      </c>
    </row>
    <row r="145" spans="1:4" x14ac:dyDescent="0.25">
      <c r="A145" s="2" t="s">
        <v>134</v>
      </c>
      <c r="B145" s="2">
        <v>2023</v>
      </c>
      <c r="C145" s="8">
        <v>39.6</v>
      </c>
      <c r="D145" s="3">
        <v>0.1</v>
      </c>
    </row>
    <row r="146" spans="1:4" x14ac:dyDescent="0.25">
      <c r="A146" s="4" t="s">
        <v>134</v>
      </c>
      <c r="B146" s="4">
        <v>2023</v>
      </c>
      <c r="C146" s="9">
        <v>43.8</v>
      </c>
      <c r="D146" s="5">
        <v>0.1</v>
      </c>
    </row>
    <row r="147" spans="1:4" x14ac:dyDescent="0.25">
      <c r="A147" s="2" t="s">
        <v>134</v>
      </c>
      <c r="B147" s="2">
        <v>2023</v>
      </c>
      <c r="C147" s="8">
        <v>47.9</v>
      </c>
      <c r="D147" s="3">
        <v>0.2</v>
      </c>
    </row>
    <row r="148" spans="1:4" x14ac:dyDescent="0.25">
      <c r="A148" s="4" t="s">
        <v>134</v>
      </c>
      <c r="B148" s="4">
        <v>2023</v>
      </c>
      <c r="C148" s="9">
        <v>52.1</v>
      </c>
      <c r="D148" s="5">
        <v>0.3</v>
      </c>
    </row>
    <row r="149" spans="1:4" x14ac:dyDescent="0.25">
      <c r="A149" s="2" t="s">
        <v>134</v>
      </c>
      <c r="B149" s="2">
        <v>2023</v>
      </c>
      <c r="C149" s="8">
        <v>56.2</v>
      </c>
      <c r="D149" s="3">
        <v>0.4</v>
      </c>
    </row>
    <row r="150" spans="1:4" x14ac:dyDescent="0.25">
      <c r="A150" s="4" t="s">
        <v>134</v>
      </c>
      <c r="B150" s="4">
        <v>2023</v>
      </c>
      <c r="C150" s="9">
        <v>60.4</v>
      </c>
      <c r="D150" s="5">
        <v>0.6</v>
      </c>
    </row>
    <row r="151" spans="1:4" x14ac:dyDescent="0.25">
      <c r="A151" s="2" t="s">
        <v>134</v>
      </c>
      <c r="B151" s="2">
        <v>2023</v>
      </c>
      <c r="C151" s="8">
        <v>64.599999999999994</v>
      </c>
      <c r="D151" s="3">
        <v>0.7</v>
      </c>
    </row>
    <row r="152" spans="1:4" x14ac:dyDescent="0.25">
      <c r="A152" s="4" t="s">
        <v>134</v>
      </c>
      <c r="B152" s="4">
        <v>2023</v>
      </c>
      <c r="C152" s="9">
        <v>68.8</v>
      </c>
      <c r="D152" s="5">
        <v>1</v>
      </c>
    </row>
    <row r="153" spans="1:4" x14ac:dyDescent="0.25">
      <c r="A153" s="2" t="s">
        <v>134</v>
      </c>
      <c r="B153" s="2">
        <v>2023</v>
      </c>
      <c r="C153" s="8">
        <v>72.900000000000006</v>
      </c>
      <c r="D153" s="3">
        <v>1.2</v>
      </c>
    </row>
    <row r="154" spans="1:4" x14ac:dyDescent="0.25">
      <c r="A154" s="4" t="s">
        <v>134</v>
      </c>
      <c r="B154" s="4">
        <v>2023</v>
      </c>
      <c r="C154" s="9">
        <v>77.099999999999994</v>
      </c>
      <c r="D154" s="5">
        <v>1.5</v>
      </c>
    </row>
    <row r="155" spans="1:4" x14ac:dyDescent="0.25">
      <c r="A155" s="2" t="s">
        <v>134</v>
      </c>
      <c r="B155" s="2">
        <v>2023</v>
      </c>
      <c r="C155" s="8">
        <v>81.2</v>
      </c>
      <c r="D155" s="3">
        <v>1.8</v>
      </c>
    </row>
    <row r="156" spans="1:4" x14ac:dyDescent="0.25">
      <c r="A156" s="4" t="s">
        <v>134</v>
      </c>
      <c r="B156" s="4">
        <v>2023</v>
      </c>
      <c r="C156" s="9">
        <v>85.4</v>
      </c>
      <c r="D156" s="5">
        <v>2.2999999999999998</v>
      </c>
    </row>
    <row r="157" spans="1:4" x14ac:dyDescent="0.25">
      <c r="A157" s="2" t="s">
        <v>134</v>
      </c>
      <c r="B157" s="2">
        <v>2023</v>
      </c>
      <c r="C157" s="8">
        <v>89.6</v>
      </c>
      <c r="D157" s="3">
        <v>3.2</v>
      </c>
    </row>
    <row r="158" spans="1:4" x14ac:dyDescent="0.25">
      <c r="A158" s="4" t="s">
        <v>134</v>
      </c>
      <c r="B158" s="4">
        <v>2023</v>
      </c>
      <c r="C158" s="9">
        <v>93.8</v>
      </c>
      <c r="D158" s="5">
        <v>6.3</v>
      </c>
    </row>
    <row r="159" spans="1:4" x14ac:dyDescent="0.25">
      <c r="A159" s="2" t="s">
        <v>134</v>
      </c>
      <c r="B159" s="2">
        <v>2023</v>
      </c>
      <c r="C159" s="8">
        <v>97.9</v>
      </c>
      <c r="D159" s="3">
        <v>44</v>
      </c>
    </row>
    <row r="160" spans="1:4" x14ac:dyDescent="0.25">
      <c r="A160" s="4" t="s">
        <v>134</v>
      </c>
      <c r="B160" s="4">
        <v>2023</v>
      </c>
      <c r="C160" s="9">
        <v>100</v>
      </c>
      <c r="D160" s="5">
        <v>100</v>
      </c>
    </row>
    <row r="161" spans="1:4" x14ac:dyDescent="0.25">
      <c r="A161" s="2" t="s">
        <v>134</v>
      </c>
      <c r="B161" s="2">
        <v>2024</v>
      </c>
      <c r="C161" s="8">
        <v>2.4</v>
      </c>
      <c r="D161" s="3">
        <v>0</v>
      </c>
    </row>
    <row r="162" spans="1:4" x14ac:dyDescent="0.25">
      <c r="A162" s="4" t="s">
        <v>134</v>
      </c>
      <c r="B162" s="4">
        <v>2024</v>
      </c>
      <c r="C162" s="9">
        <v>7.1</v>
      </c>
      <c r="D162" s="5">
        <v>0</v>
      </c>
    </row>
    <row r="163" spans="1:4" x14ac:dyDescent="0.25">
      <c r="A163" s="2" t="s">
        <v>134</v>
      </c>
      <c r="B163" s="2">
        <v>2024</v>
      </c>
      <c r="C163" s="8">
        <v>11.9</v>
      </c>
      <c r="D163" s="3">
        <v>0</v>
      </c>
    </row>
    <row r="164" spans="1:4" x14ac:dyDescent="0.25">
      <c r="A164" s="4" t="s">
        <v>134</v>
      </c>
      <c r="B164" s="4">
        <v>2024</v>
      </c>
      <c r="C164" s="9">
        <v>16.7</v>
      </c>
      <c r="D164" s="5">
        <v>0</v>
      </c>
    </row>
    <row r="165" spans="1:4" x14ac:dyDescent="0.25">
      <c r="A165" s="2" t="s">
        <v>134</v>
      </c>
      <c r="B165" s="2">
        <v>2024</v>
      </c>
      <c r="C165" s="8">
        <v>21.4</v>
      </c>
      <c r="D165" s="3">
        <v>0</v>
      </c>
    </row>
    <row r="166" spans="1:4" x14ac:dyDescent="0.25">
      <c r="A166" s="4" t="s">
        <v>134</v>
      </c>
      <c r="B166" s="4">
        <v>2024</v>
      </c>
      <c r="C166" s="9">
        <v>26.2</v>
      </c>
      <c r="D166" s="5">
        <v>0</v>
      </c>
    </row>
    <row r="167" spans="1:4" x14ac:dyDescent="0.25">
      <c r="A167" s="2" t="s">
        <v>134</v>
      </c>
      <c r="B167" s="2">
        <v>2024</v>
      </c>
      <c r="C167" s="8">
        <v>31</v>
      </c>
      <c r="D167" s="3">
        <v>0</v>
      </c>
    </row>
    <row r="168" spans="1:4" x14ac:dyDescent="0.25">
      <c r="A168" s="4" t="s">
        <v>134</v>
      </c>
      <c r="B168" s="4">
        <v>2024</v>
      </c>
      <c r="C168" s="9">
        <v>35.700000000000003</v>
      </c>
      <c r="D168" s="5">
        <v>0.1</v>
      </c>
    </row>
    <row r="169" spans="1:4" x14ac:dyDescent="0.25">
      <c r="A169" s="2" t="s">
        <v>134</v>
      </c>
      <c r="B169" s="2">
        <v>2024</v>
      </c>
      <c r="C169" s="8">
        <v>40.5</v>
      </c>
      <c r="D169" s="3">
        <v>0.1</v>
      </c>
    </row>
    <row r="170" spans="1:4" x14ac:dyDescent="0.25">
      <c r="A170" s="4" t="s">
        <v>134</v>
      </c>
      <c r="B170" s="4">
        <v>2024</v>
      </c>
      <c r="C170" s="9">
        <v>45.2</v>
      </c>
      <c r="D170" s="5">
        <v>0.2</v>
      </c>
    </row>
    <row r="171" spans="1:4" x14ac:dyDescent="0.25">
      <c r="A171" s="2" t="s">
        <v>134</v>
      </c>
      <c r="B171" s="2">
        <v>2024</v>
      </c>
      <c r="C171" s="8">
        <v>50</v>
      </c>
      <c r="D171" s="3">
        <v>0.3</v>
      </c>
    </row>
    <row r="172" spans="1:4" x14ac:dyDescent="0.25">
      <c r="A172" s="4" t="s">
        <v>134</v>
      </c>
      <c r="B172" s="4">
        <v>2024</v>
      </c>
      <c r="C172" s="9">
        <v>54.8</v>
      </c>
      <c r="D172" s="5">
        <v>0.4</v>
      </c>
    </row>
    <row r="173" spans="1:4" x14ac:dyDescent="0.25">
      <c r="A173" s="2" t="s">
        <v>134</v>
      </c>
      <c r="B173" s="2">
        <v>2024</v>
      </c>
      <c r="C173" s="8">
        <v>59.5</v>
      </c>
      <c r="D173" s="3">
        <v>0.6</v>
      </c>
    </row>
    <row r="174" spans="1:4" x14ac:dyDescent="0.25">
      <c r="A174" s="4" t="s">
        <v>134</v>
      </c>
      <c r="B174" s="4">
        <v>2024</v>
      </c>
      <c r="C174" s="9">
        <v>64.3</v>
      </c>
      <c r="D174" s="5">
        <v>0.8</v>
      </c>
    </row>
    <row r="175" spans="1:4" x14ac:dyDescent="0.25">
      <c r="A175" s="2" t="s">
        <v>134</v>
      </c>
      <c r="B175" s="2">
        <v>2024</v>
      </c>
      <c r="C175" s="8">
        <v>69</v>
      </c>
      <c r="D175" s="3">
        <v>1.1000000000000001</v>
      </c>
    </row>
    <row r="176" spans="1:4" x14ac:dyDescent="0.25">
      <c r="A176" s="4" t="s">
        <v>134</v>
      </c>
      <c r="B176" s="4">
        <v>2024</v>
      </c>
      <c r="C176" s="9">
        <v>73.8</v>
      </c>
      <c r="D176" s="5">
        <v>1.4</v>
      </c>
    </row>
    <row r="177" spans="1:4" x14ac:dyDescent="0.25">
      <c r="A177" s="2" t="s">
        <v>134</v>
      </c>
      <c r="B177" s="2">
        <v>2024</v>
      </c>
      <c r="C177" s="8">
        <v>78.599999999999994</v>
      </c>
      <c r="D177" s="3">
        <v>1.8</v>
      </c>
    </row>
    <row r="178" spans="1:4" x14ac:dyDescent="0.25">
      <c r="A178" s="4" t="s">
        <v>134</v>
      </c>
      <c r="B178" s="4">
        <v>2024</v>
      </c>
      <c r="C178" s="9">
        <v>83.3</v>
      </c>
      <c r="D178" s="5">
        <v>2.2999999999999998</v>
      </c>
    </row>
    <row r="179" spans="1:4" x14ac:dyDescent="0.25">
      <c r="A179" s="2" t="s">
        <v>134</v>
      </c>
      <c r="B179" s="2">
        <v>2024</v>
      </c>
      <c r="C179" s="8">
        <v>88.1</v>
      </c>
      <c r="D179" s="3">
        <v>3</v>
      </c>
    </row>
    <row r="180" spans="1:4" x14ac:dyDescent="0.25">
      <c r="A180" s="4" t="s">
        <v>134</v>
      </c>
      <c r="B180" s="4">
        <v>2024</v>
      </c>
      <c r="C180" s="9">
        <v>92.9</v>
      </c>
      <c r="D180" s="5">
        <v>7</v>
      </c>
    </row>
    <row r="181" spans="1:4" x14ac:dyDescent="0.25">
      <c r="A181" s="2" t="s">
        <v>134</v>
      </c>
      <c r="B181" s="2">
        <v>2024</v>
      </c>
      <c r="C181" s="8">
        <v>97.6</v>
      </c>
      <c r="D181" s="3">
        <v>49.7</v>
      </c>
    </row>
    <row r="182" spans="1:4" x14ac:dyDescent="0.25">
      <c r="A182" s="4" t="s">
        <v>134</v>
      </c>
      <c r="B182" s="4">
        <v>2024</v>
      </c>
      <c r="C182" s="9">
        <v>100</v>
      </c>
      <c r="D182" s="5">
        <v>100</v>
      </c>
    </row>
    <row r="183" spans="1:4" x14ac:dyDescent="0.25">
      <c r="A183" s="2" t="s">
        <v>134</v>
      </c>
      <c r="B183" s="2">
        <v>2025</v>
      </c>
      <c r="C183" s="8">
        <v>2.1</v>
      </c>
      <c r="D183" s="3">
        <v>0</v>
      </c>
    </row>
    <row r="184" spans="1:4" x14ac:dyDescent="0.25">
      <c r="A184" s="4" t="s">
        <v>134</v>
      </c>
      <c r="B184" s="4">
        <v>2025</v>
      </c>
      <c r="C184" s="9">
        <v>6.4</v>
      </c>
      <c r="D184" s="5">
        <v>0</v>
      </c>
    </row>
    <row r="185" spans="1:4" x14ac:dyDescent="0.25">
      <c r="A185" s="2" t="s">
        <v>134</v>
      </c>
      <c r="B185" s="2">
        <v>2025</v>
      </c>
      <c r="C185" s="8">
        <v>10.6</v>
      </c>
      <c r="D185" s="3">
        <v>0</v>
      </c>
    </row>
    <row r="186" spans="1:4" x14ac:dyDescent="0.25">
      <c r="A186" s="4" t="s">
        <v>134</v>
      </c>
      <c r="B186" s="4">
        <v>2025</v>
      </c>
      <c r="C186" s="9">
        <v>14.9</v>
      </c>
      <c r="D186" s="5">
        <v>0</v>
      </c>
    </row>
    <row r="187" spans="1:4" x14ac:dyDescent="0.25">
      <c r="A187" s="2" t="s">
        <v>134</v>
      </c>
      <c r="B187" s="2">
        <v>2025</v>
      </c>
      <c r="C187" s="8">
        <v>19.100000000000001</v>
      </c>
      <c r="D187" s="3">
        <v>0</v>
      </c>
    </row>
    <row r="188" spans="1:4" x14ac:dyDescent="0.25">
      <c r="A188" s="4" t="s">
        <v>134</v>
      </c>
      <c r="B188" s="4">
        <v>2025</v>
      </c>
      <c r="C188" s="9">
        <v>23.4</v>
      </c>
      <c r="D188" s="5">
        <v>0</v>
      </c>
    </row>
    <row r="189" spans="1:4" x14ac:dyDescent="0.25">
      <c r="A189" s="2" t="s">
        <v>134</v>
      </c>
      <c r="B189" s="2">
        <v>2025</v>
      </c>
      <c r="C189" s="8">
        <v>27.7</v>
      </c>
      <c r="D189" s="3">
        <v>0</v>
      </c>
    </row>
    <row r="190" spans="1:4" x14ac:dyDescent="0.25">
      <c r="A190" s="4" t="s">
        <v>134</v>
      </c>
      <c r="B190" s="4">
        <v>2025</v>
      </c>
      <c r="C190" s="9">
        <v>31.9</v>
      </c>
      <c r="D190" s="5">
        <v>0</v>
      </c>
    </row>
    <row r="191" spans="1:4" x14ac:dyDescent="0.25">
      <c r="A191" s="2" t="s">
        <v>134</v>
      </c>
      <c r="B191" s="2">
        <v>2025</v>
      </c>
      <c r="C191" s="8">
        <v>36.200000000000003</v>
      </c>
      <c r="D191" s="3">
        <v>0</v>
      </c>
    </row>
    <row r="192" spans="1:4" x14ac:dyDescent="0.25">
      <c r="A192" s="4" t="s">
        <v>134</v>
      </c>
      <c r="B192" s="4">
        <v>2025</v>
      </c>
      <c r="C192" s="9">
        <v>40.4</v>
      </c>
      <c r="D192" s="5">
        <v>0.1</v>
      </c>
    </row>
    <row r="193" spans="1:4" x14ac:dyDescent="0.25">
      <c r="A193" s="2" t="s">
        <v>134</v>
      </c>
      <c r="B193" s="2">
        <v>2025</v>
      </c>
      <c r="C193" s="8">
        <v>44.7</v>
      </c>
      <c r="D193" s="3">
        <v>0.1</v>
      </c>
    </row>
    <row r="194" spans="1:4" x14ac:dyDescent="0.25">
      <c r="A194" s="4" t="s">
        <v>134</v>
      </c>
      <c r="B194" s="4">
        <v>2025</v>
      </c>
      <c r="C194" s="9">
        <v>48.9</v>
      </c>
      <c r="D194" s="5">
        <v>0.1</v>
      </c>
    </row>
    <row r="195" spans="1:4" x14ac:dyDescent="0.25">
      <c r="A195" s="2" t="s">
        <v>134</v>
      </c>
      <c r="B195" s="2">
        <v>2025</v>
      </c>
      <c r="C195" s="8">
        <v>53.2</v>
      </c>
      <c r="D195" s="3">
        <v>0.2</v>
      </c>
    </row>
    <row r="196" spans="1:4" x14ac:dyDescent="0.25">
      <c r="A196" s="4" t="s">
        <v>134</v>
      </c>
      <c r="B196" s="4">
        <v>2025</v>
      </c>
      <c r="C196" s="9">
        <v>57.4</v>
      </c>
      <c r="D196" s="5">
        <v>0.3</v>
      </c>
    </row>
    <row r="197" spans="1:4" x14ac:dyDescent="0.25">
      <c r="A197" s="2" t="s">
        <v>134</v>
      </c>
      <c r="B197" s="2">
        <v>2025</v>
      </c>
      <c r="C197" s="8">
        <v>61.7</v>
      </c>
      <c r="D197" s="3">
        <v>0.5</v>
      </c>
    </row>
    <row r="198" spans="1:4" x14ac:dyDescent="0.25">
      <c r="A198" s="4" t="s">
        <v>134</v>
      </c>
      <c r="B198" s="4">
        <v>2025</v>
      </c>
      <c r="C198" s="9">
        <v>66</v>
      </c>
      <c r="D198" s="5">
        <v>0.6</v>
      </c>
    </row>
    <row r="199" spans="1:4" x14ac:dyDescent="0.25">
      <c r="A199" s="2" t="s">
        <v>134</v>
      </c>
      <c r="B199" s="2">
        <v>2025</v>
      </c>
      <c r="C199" s="8">
        <v>70.2</v>
      </c>
      <c r="D199" s="3">
        <v>0.8</v>
      </c>
    </row>
    <row r="200" spans="1:4" x14ac:dyDescent="0.25">
      <c r="A200" s="4" t="s">
        <v>134</v>
      </c>
      <c r="B200" s="4">
        <v>2025</v>
      </c>
      <c r="C200" s="9">
        <v>74.5</v>
      </c>
      <c r="D200" s="5">
        <v>1.1000000000000001</v>
      </c>
    </row>
    <row r="201" spans="1:4" x14ac:dyDescent="0.25">
      <c r="A201" s="2" t="s">
        <v>134</v>
      </c>
      <c r="B201" s="2">
        <v>2025</v>
      </c>
      <c r="C201" s="8">
        <v>78.7</v>
      </c>
      <c r="D201" s="3">
        <v>1.6</v>
      </c>
    </row>
    <row r="202" spans="1:4" x14ac:dyDescent="0.25">
      <c r="A202" s="4" t="s">
        <v>134</v>
      </c>
      <c r="B202" s="4">
        <v>2025</v>
      </c>
      <c r="C202" s="9">
        <v>83</v>
      </c>
      <c r="D202" s="5">
        <v>2.2999999999999998</v>
      </c>
    </row>
    <row r="203" spans="1:4" x14ac:dyDescent="0.25">
      <c r="A203" s="2" t="s">
        <v>134</v>
      </c>
      <c r="B203" s="2">
        <v>2025</v>
      </c>
      <c r="C203" s="8">
        <v>87.2</v>
      </c>
      <c r="D203" s="3">
        <v>3.2</v>
      </c>
    </row>
    <row r="204" spans="1:4" x14ac:dyDescent="0.25">
      <c r="A204" s="4" t="s">
        <v>134</v>
      </c>
      <c r="B204" s="4">
        <v>2025</v>
      </c>
      <c r="C204" s="9">
        <v>91.5</v>
      </c>
      <c r="D204" s="5">
        <v>5.2</v>
      </c>
    </row>
    <row r="205" spans="1:4" x14ac:dyDescent="0.25">
      <c r="A205" s="2" t="s">
        <v>134</v>
      </c>
      <c r="B205" s="2">
        <v>2025</v>
      </c>
      <c r="C205" s="8">
        <v>95.7</v>
      </c>
      <c r="D205" s="3">
        <v>10</v>
      </c>
    </row>
    <row r="206" spans="1:4" x14ac:dyDescent="0.25">
      <c r="A206" s="4" t="s">
        <v>134</v>
      </c>
      <c r="B206" s="4">
        <v>2025</v>
      </c>
      <c r="C206" s="9">
        <v>100</v>
      </c>
      <c r="D206" s="5">
        <v>100</v>
      </c>
    </row>
    <row r="207" spans="1:4" x14ac:dyDescent="0.25">
      <c r="A207" s="2" t="s">
        <v>137</v>
      </c>
      <c r="B207" s="2">
        <v>2023</v>
      </c>
      <c r="C207" s="8">
        <v>1</v>
      </c>
      <c r="D207" s="3">
        <v>0</v>
      </c>
    </row>
    <row r="208" spans="1:4" x14ac:dyDescent="0.25">
      <c r="A208" s="4" t="s">
        <v>137</v>
      </c>
      <c r="B208" s="4">
        <v>2023</v>
      </c>
      <c r="C208" s="9">
        <v>6</v>
      </c>
      <c r="D208" s="5">
        <v>0</v>
      </c>
    </row>
    <row r="209" spans="1:4" x14ac:dyDescent="0.25">
      <c r="A209" s="2" t="s">
        <v>137</v>
      </c>
      <c r="B209" s="2">
        <v>2023</v>
      </c>
      <c r="C209" s="8">
        <v>11</v>
      </c>
      <c r="D209" s="3">
        <v>0</v>
      </c>
    </row>
    <row r="210" spans="1:4" x14ac:dyDescent="0.25">
      <c r="A210" s="4" t="s">
        <v>137</v>
      </c>
      <c r="B210" s="4">
        <v>2023</v>
      </c>
      <c r="C210" s="9">
        <v>16</v>
      </c>
      <c r="D210" s="5">
        <v>0</v>
      </c>
    </row>
    <row r="211" spans="1:4" x14ac:dyDescent="0.25">
      <c r="A211" s="2" t="s">
        <v>137</v>
      </c>
      <c r="B211" s="2">
        <v>2023</v>
      </c>
      <c r="C211" s="8">
        <v>21</v>
      </c>
      <c r="D211" s="3">
        <v>0</v>
      </c>
    </row>
    <row r="212" spans="1:4" x14ac:dyDescent="0.25">
      <c r="A212" s="4" t="s">
        <v>137</v>
      </c>
      <c r="B212" s="4">
        <v>2023</v>
      </c>
      <c r="C212" s="9">
        <v>26</v>
      </c>
      <c r="D212" s="5">
        <v>0</v>
      </c>
    </row>
    <row r="213" spans="1:4" x14ac:dyDescent="0.25">
      <c r="A213" s="2" t="s">
        <v>137</v>
      </c>
      <c r="B213" s="2">
        <v>2023</v>
      </c>
      <c r="C213" s="8">
        <v>31</v>
      </c>
      <c r="D213" s="3">
        <v>0</v>
      </c>
    </row>
    <row r="214" spans="1:4" x14ac:dyDescent="0.25">
      <c r="A214" s="4" t="s">
        <v>137</v>
      </c>
      <c r="B214" s="4">
        <v>2023</v>
      </c>
      <c r="C214" s="9">
        <v>36</v>
      </c>
      <c r="D214" s="5">
        <v>0.1</v>
      </c>
    </row>
    <row r="215" spans="1:4" x14ac:dyDescent="0.25">
      <c r="A215" s="2" t="s">
        <v>137</v>
      </c>
      <c r="B215" s="2">
        <v>2023</v>
      </c>
      <c r="C215" s="8">
        <v>41</v>
      </c>
      <c r="D215" s="3">
        <v>0.2</v>
      </c>
    </row>
    <row r="216" spans="1:4" x14ac:dyDescent="0.25">
      <c r="A216" s="4" t="s">
        <v>137</v>
      </c>
      <c r="B216" s="4">
        <v>2023</v>
      </c>
      <c r="C216" s="9">
        <v>46</v>
      </c>
      <c r="D216" s="5">
        <v>0.4</v>
      </c>
    </row>
    <row r="217" spans="1:4" x14ac:dyDescent="0.25">
      <c r="A217" s="2" t="s">
        <v>137</v>
      </c>
      <c r="B217" s="2">
        <v>2023</v>
      </c>
      <c r="C217" s="8">
        <v>51</v>
      </c>
      <c r="D217" s="3">
        <v>0.7</v>
      </c>
    </row>
    <row r="218" spans="1:4" x14ac:dyDescent="0.25">
      <c r="A218" s="4" t="s">
        <v>137</v>
      </c>
      <c r="B218" s="4">
        <v>2023</v>
      </c>
      <c r="C218" s="9">
        <v>56</v>
      </c>
      <c r="D218" s="5">
        <v>1.1000000000000001</v>
      </c>
    </row>
    <row r="219" spans="1:4" x14ac:dyDescent="0.25">
      <c r="A219" s="2" t="s">
        <v>137</v>
      </c>
      <c r="B219" s="2">
        <v>2023</v>
      </c>
      <c r="C219" s="8">
        <v>61</v>
      </c>
      <c r="D219" s="3">
        <v>1.7</v>
      </c>
    </row>
    <row r="220" spans="1:4" x14ac:dyDescent="0.25">
      <c r="A220" s="4" t="s">
        <v>137</v>
      </c>
      <c r="B220" s="4">
        <v>2023</v>
      </c>
      <c r="C220" s="9">
        <v>66</v>
      </c>
      <c r="D220" s="5">
        <v>2.5</v>
      </c>
    </row>
    <row r="221" spans="1:4" x14ac:dyDescent="0.25">
      <c r="A221" s="2" t="s">
        <v>137</v>
      </c>
      <c r="B221" s="2">
        <v>2023</v>
      </c>
      <c r="C221" s="8">
        <v>71</v>
      </c>
      <c r="D221" s="3">
        <v>3.5</v>
      </c>
    </row>
    <row r="222" spans="1:4" x14ac:dyDescent="0.25">
      <c r="A222" s="4" t="s">
        <v>137</v>
      </c>
      <c r="B222" s="4">
        <v>2023</v>
      </c>
      <c r="C222" s="9">
        <v>76</v>
      </c>
      <c r="D222" s="5">
        <v>4.9000000000000004</v>
      </c>
    </row>
    <row r="223" spans="1:4" x14ac:dyDescent="0.25">
      <c r="A223" s="2" t="s">
        <v>137</v>
      </c>
      <c r="B223" s="2">
        <v>2023</v>
      </c>
      <c r="C223" s="8">
        <v>81</v>
      </c>
      <c r="D223" s="3">
        <v>7</v>
      </c>
    </row>
    <row r="224" spans="1:4" x14ac:dyDescent="0.25">
      <c r="A224" s="4" t="s">
        <v>137</v>
      </c>
      <c r="B224" s="4">
        <v>2023</v>
      </c>
      <c r="C224" s="9">
        <v>86</v>
      </c>
      <c r="D224" s="5">
        <v>10.6</v>
      </c>
    </row>
    <row r="225" spans="1:4" x14ac:dyDescent="0.25">
      <c r="A225" s="2" t="s">
        <v>137</v>
      </c>
      <c r="B225" s="2">
        <v>2023</v>
      </c>
      <c r="C225" s="8">
        <v>91</v>
      </c>
      <c r="D225" s="3">
        <v>18.7</v>
      </c>
    </row>
    <row r="226" spans="1:4" x14ac:dyDescent="0.25">
      <c r="A226" s="4" t="s">
        <v>137</v>
      </c>
      <c r="B226" s="4">
        <v>2023</v>
      </c>
      <c r="C226" s="9">
        <v>96</v>
      </c>
      <c r="D226" s="5">
        <v>47.4</v>
      </c>
    </row>
    <row r="227" spans="1:4" x14ac:dyDescent="0.25">
      <c r="A227" s="2" t="s">
        <v>137</v>
      </c>
      <c r="B227" s="2">
        <v>2023</v>
      </c>
      <c r="C227" s="8">
        <v>100</v>
      </c>
      <c r="D227" s="3">
        <v>100</v>
      </c>
    </row>
    <row r="228" spans="1:4" x14ac:dyDescent="0.25">
      <c r="A228" s="4" t="s">
        <v>137</v>
      </c>
      <c r="B228" s="4">
        <v>2024</v>
      </c>
      <c r="C228" s="9">
        <v>1</v>
      </c>
      <c r="D228" s="5">
        <v>0</v>
      </c>
    </row>
    <row r="229" spans="1:4" x14ac:dyDescent="0.25">
      <c r="A229" s="2" t="s">
        <v>137</v>
      </c>
      <c r="B229" s="2">
        <v>2024</v>
      </c>
      <c r="C229" s="8">
        <v>5.7</v>
      </c>
      <c r="D229" s="3">
        <v>0</v>
      </c>
    </row>
    <row r="230" spans="1:4" x14ac:dyDescent="0.25">
      <c r="A230" s="4" t="s">
        <v>137</v>
      </c>
      <c r="B230" s="4">
        <v>2024</v>
      </c>
      <c r="C230" s="9">
        <v>10.5</v>
      </c>
      <c r="D230" s="5">
        <v>0</v>
      </c>
    </row>
    <row r="231" spans="1:4" x14ac:dyDescent="0.25">
      <c r="A231" s="2" t="s">
        <v>137</v>
      </c>
      <c r="B231" s="2">
        <v>2024</v>
      </c>
      <c r="C231" s="8">
        <v>15.2</v>
      </c>
      <c r="D231" s="3">
        <v>0</v>
      </c>
    </row>
    <row r="232" spans="1:4" x14ac:dyDescent="0.25">
      <c r="A232" s="4" t="s">
        <v>137</v>
      </c>
      <c r="B232" s="4">
        <v>2024</v>
      </c>
      <c r="C232" s="9">
        <v>20</v>
      </c>
      <c r="D232" s="5">
        <v>0</v>
      </c>
    </row>
    <row r="233" spans="1:4" x14ac:dyDescent="0.25">
      <c r="A233" s="2" t="s">
        <v>137</v>
      </c>
      <c r="B233" s="2">
        <v>2024</v>
      </c>
      <c r="C233" s="8">
        <v>24.8</v>
      </c>
      <c r="D233" s="3">
        <v>0</v>
      </c>
    </row>
    <row r="234" spans="1:4" x14ac:dyDescent="0.25">
      <c r="A234" s="4" t="s">
        <v>137</v>
      </c>
      <c r="B234" s="4">
        <v>2024</v>
      </c>
      <c r="C234" s="9">
        <v>29.5</v>
      </c>
      <c r="D234" s="5">
        <v>0.1</v>
      </c>
    </row>
    <row r="235" spans="1:4" x14ac:dyDescent="0.25">
      <c r="A235" s="2" t="s">
        <v>137</v>
      </c>
      <c r="B235" s="2">
        <v>2024</v>
      </c>
      <c r="C235" s="8">
        <v>34.299999999999997</v>
      </c>
      <c r="D235" s="3">
        <v>0.1</v>
      </c>
    </row>
    <row r="236" spans="1:4" x14ac:dyDescent="0.25">
      <c r="A236" s="4" t="s">
        <v>137</v>
      </c>
      <c r="B236" s="4">
        <v>2024</v>
      </c>
      <c r="C236" s="9">
        <v>39</v>
      </c>
      <c r="D236" s="5">
        <v>0.3</v>
      </c>
    </row>
    <row r="237" spans="1:4" x14ac:dyDescent="0.25">
      <c r="A237" s="2" t="s">
        <v>137</v>
      </c>
      <c r="B237" s="2">
        <v>2024</v>
      </c>
      <c r="C237" s="8">
        <v>43.8</v>
      </c>
      <c r="D237" s="3">
        <v>0.5</v>
      </c>
    </row>
    <row r="238" spans="1:4" x14ac:dyDescent="0.25">
      <c r="A238" s="4" t="s">
        <v>137</v>
      </c>
      <c r="B238" s="4">
        <v>2024</v>
      </c>
      <c r="C238" s="9">
        <v>48.6</v>
      </c>
      <c r="D238" s="5">
        <v>0.7</v>
      </c>
    </row>
    <row r="239" spans="1:4" x14ac:dyDescent="0.25">
      <c r="A239" s="2" t="s">
        <v>137</v>
      </c>
      <c r="B239" s="2">
        <v>2024</v>
      </c>
      <c r="C239" s="8">
        <v>53.3</v>
      </c>
      <c r="D239" s="3">
        <v>1.2</v>
      </c>
    </row>
    <row r="240" spans="1:4" x14ac:dyDescent="0.25">
      <c r="A240" s="4" t="s">
        <v>137</v>
      </c>
      <c r="B240" s="4">
        <v>2024</v>
      </c>
      <c r="C240" s="9">
        <v>58.1</v>
      </c>
      <c r="D240" s="5">
        <v>1.8</v>
      </c>
    </row>
    <row r="241" spans="1:4" x14ac:dyDescent="0.25">
      <c r="A241" s="2" t="s">
        <v>137</v>
      </c>
      <c r="B241" s="2">
        <v>2024</v>
      </c>
      <c r="C241" s="8">
        <v>62.9</v>
      </c>
      <c r="D241" s="3">
        <v>2.6</v>
      </c>
    </row>
    <row r="242" spans="1:4" x14ac:dyDescent="0.25">
      <c r="A242" s="4" t="s">
        <v>137</v>
      </c>
      <c r="B242" s="4">
        <v>2024</v>
      </c>
      <c r="C242" s="9">
        <v>67.599999999999994</v>
      </c>
      <c r="D242" s="5">
        <v>3.8</v>
      </c>
    </row>
    <row r="243" spans="1:4" x14ac:dyDescent="0.25">
      <c r="A243" s="2" t="s">
        <v>137</v>
      </c>
      <c r="B243" s="2">
        <v>2024</v>
      </c>
      <c r="C243" s="8">
        <v>72.400000000000006</v>
      </c>
      <c r="D243" s="3">
        <v>5.5</v>
      </c>
    </row>
    <row r="244" spans="1:4" x14ac:dyDescent="0.25">
      <c r="A244" s="4" t="s">
        <v>137</v>
      </c>
      <c r="B244" s="4">
        <v>2024</v>
      </c>
      <c r="C244" s="9">
        <v>77.099999999999994</v>
      </c>
      <c r="D244" s="5">
        <v>7.6</v>
      </c>
    </row>
    <row r="245" spans="1:4" x14ac:dyDescent="0.25">
      <c r="A245" s="2" t="s">
        <v>137</v>
      </c>
      <c r="B245" s="2">
        <v>2024</v>
      </c>
      <c r="C245" s="8">
        <v>81.900000000000006</v>
      </c>
      <c r="D245" s="3">
        <v>10.9</v>
      </c>
    </row>
    <row r="246" spans="1:4" x14ac:dyDescent="0.25">
      <c r="A246" s="4" t="s">
        <v>137</v>
      </c>
      <c r="B246" s="4">
        <v>2024</v>
      </c>
      <c r="C246" s="9">
        <v>86.7</v>
      </c>
      <c r="D246" s="5">
        <v>16</v>
      </c>
    </row>
    <row r="247" spans="1:4" x14ac:dyDescent="0.25">
      <c r="A247" s="2" t="s">
        <v>137</v>
      </c>
      <c r="B247" s="2">
        <v>2024</v>
      </c>
      <c r="C247" s="8">
        <v>91.4</v>
      </c>
      <c r="D247" s="3">
        <v>24.8</v>
      </c>
    </row>
    <row r="248" spans="1:4" x14ac:dyDescent="0.25">
      <c r="A248" s="4" t="s">
        <v>137</v>
      </c>
      <c r="B248" s="4">
        <v>2024</v>
      </c>
      <c r="C248" s="9">
        <v>96.2</v>
      </c>
      <c r="D248" s="5">
        <v>47.5</v>
      </c>
    </row>
    <row r="249" spans="1:4" x14ac:dyDescent="0.25">
      <c r="A249" s="2" t="s">
        <v>137</v>
      </c>
      <c r="B249" s="2">
        <v>2024</v>
      </c>
      <c r="C249" s="8">
        <v>100</v>
      </c>
      <c r="D249" s="3">
        <v>100</v>
      </c>
    </row>
    <row r="250" spans="1:4" x14ac:dyDescent="0.25">
      <c r="A250" s="4" t="s">
        <v>137</v>
      </c>
      <c r="B250" s="4">
        <v>2025</v>
      </c>
      <c r="C250" s="9">
        <v>1</v>
      </c>
      <c r="D250" s="5">
        <v>0</v>
      </c>
    </row>
    <row r="251" spans="1:4" x14ac:dyDescent="0.25">
      <c r="A251" s="2" t="s">
        <v>137</v>
      </c>
      <c r="B251" s="2">
        <v>2025</v>
      </c>
      <c r="C251" s="8">
        <v>5.7</v>
      </c>
      <c r="D251" s="3">
        <v>0</v>
      </c>
    </row>
    <row r="252" spans="1:4" x14ac:dyDescent="0.25">
      <c r="A252" s="4" t="s">
        <v>137</v>
      </c>
      <c r="B252" s="4">
        <v>2025</v>
      </c>
      <c r="C252" s="9">
        <v>10.5</v>
      </c>
      <c r="D252" s="5">
        <v>0</v>
      </c>
    </row>
    <row r="253" spans="1:4" x14ac:dyDescent="0.25">
      <c r="A253" s="2" t="s">
        <v>137</v>
      </c>
      <c r="B253" s="2">
        <v>2025</v>
      </c>
      <c r="C253" s="8">
        <v>15.2</v>
      </c>
      <c r="D253" s="3">
        <v>0</v>
      </c>
    </row>
    <row r="254" spans="1:4" x14ac:dyDescent="0.25">
      <c r="A254" s="4" t="s">
        <v>137</v>
      </c>
      <c r="B254" s="4">
        <v>2025</v>
      </c>
      <c r="C254" s="9">
        <v>20</v>
      </c>
      <c r="D254" s="5">
        <v>0</v>
      </c>
    </row>
    <row r="255" spans="1:4" x14ac:dyDescent="0.25">
      <c r="A255" s="2" t="s">
        <v>137</v>
      </c>
      <c r="B255" s="2">
        <v>2025</v>
      </c>
      <c r="C255" s="8">
        <v>24.8</v>
      </c>
      <c r="D255" s="3">
        <v>0</v>
      </c>
    </row>
    <row r="256" spans="1:4" x14ac:dyDescent="0.25">
      <c r="A256" s="4" t="s">
        <v>137</v>
      </c>
      <c r="B256" s="4">
        <v>2025</v>
      </c>
      <c r="C256" s="9">
        <v>29.5</v>
      </c>
      <c r="D256" s="5">
        <v>0</v>
      </c>
    </row>
    <row r="257" spans="1:4" x14ac:dyDescent="0.25">
      <c r="A257" s="2" t="s">
        <v>137</v>
      </c>
      <c r="B257" s="2">
        <v>2025</v>
      </c>
      <c r="C257" s="8">
        <v>34.299999999999997</v>
      </c>
      <c r="D257" s="3">
        <v>0.1</v>
      </c>
    </row>
    <row r="258" spans="1:4" x14ac:dyDescent="0.25">
      <c r="A258" s="4" t="s">
        <v>137</v>
      </c>
      <c r="B258" s="4">
        <v>2025</v>
      </c>
      <c r="C258" s="9">
        <v>39</v>
      </c>
      <c r="D258" s="5">
        <v>0.1</v>
      </c>
    </row>
    <row r="259" spans="1:4" x14ac:dyDescent="0.25">
      <c r="A259" s="2" t="s">
        <v>137</v>
      </c>
      <c r="B259" s="2">
        <v>2025</v>
      </c>
      <c r="C259" s="8">
        <v>43.8</v>
      </c>
      <c r="D259" s="3">
        <v>0.3</v>
      </c>
    </row>
    <row r="260" spans="1:4" x14ac:dyDescent="0.25">
      <c r="A260" s="4" t="s">
        <v>137</v>
      </c>
      <c r="B260" s="4">
        <v>2025</v>
      </c>
      <c r="C260" s="9">
        <v>48.6</v>
      </c>
      <c r="D260" s="5">
        <v>0.5</v>
      </c>
    </row>
    <row r="261" spans="1:4" x14ac:dyDescent="0.25">
      <c r="A261" s="2" t="s">
        <v>137</v>
      </c>
      <c r="B261" s="2">
        <v>2025</v>
      </c>
      <c r="C261" s="8">
        <v>53.3</v>
      </c>
      <c r="D261" s="3">
        <v>0.9</v>
      </c>
    </row>
    <row r="262" spans="1:4" x14ac:dyDescent="0.25">
      <c r="A262" s="4" t="s">
        <v>137</v>
      </c>
      <c r="B262" s="4">
        <v>2025</v>
      </c>
      <c r="C262" s="9">
        <v>58.1</v>
      </c>
      <c r="D262" s="5">
        <v>1.3</v>
      </c>
    </row>
    <row r="263" spans="1:4" x14ac:dyDescent="0.25">
      <c r="A263" s="2" t="s">
        <v>137</v>
      </c>
      <c r="B263" s="2">
        <v>2025</v>
      </c>
      <c r="C263" s="8">
        <v>62.9</v>
      </c>
      <c r="D263" s="3">
        <v>1.9</v>
      </c>
    </row>
    <row r="264" spans="1:4" x14ac:dyDescent="0.25">
      <c r="A264" s="4" t="s">
        <v>137</v>
      </c>
      <c r="B264" s="4">
        <v>2025</v>
      </c>
      <c r="C264" s="9">
        <v>67.599999999999994</v>
      </c>
      <c r="D264" s="5">
        <v>2.8</v>
      </c>
    </row>
    <row r="265" spans="1:4" x14ac:dyDescent="0.25">
      <c r="A265" s="2" t="s">
        <v>137</v>
      </c>
      <c r="B265" s="2">
        <v>2025</v>
      </c>
      <c r="C265" s="8">
        <v>72.400000000000006</v>
      </c>
      <c r="D265" s="3">
        <v>4.0999999999999996</v>
      </c>
    </row>
    <row r="266" spans="1:4" x14ac:dyDescent="0.25">
      <c r="A266" s="4" t="s">
        <v>137</v>
      </c>
      <c r="B266" s="4">
        <v>2025</v>
      </c>
      <c r="C266" s="9">
        <v>77.099999999999994</v>
      </c>
      <c r="D266" s="5">
        <v>6.2</v>
      </c>
    </row>
    <row r="267" spans="1:4" x14ac:dyDescent="0.25">
      <c r="A267" s="2" t="s">
        <v>137</v>
      </c>
      <c r="B267" s="2">
        <v>2025</v>
      </c>
      <c r="C267" s="8">
        <v>81.900000000000006</v>
      </c>
      <c r="D267" s="3">
        <v>9.3000000000000007</v>
      </c>
    </row>
    <row r="268" spans="1:4" x14ac:dyDescent="0.25">
      <c r="A268" s="4" t="s">
        <v>137</v>
      </c>
      <c r="B268" s="4">
        <v>2025</v>
      </c>
      <c r="C268" s="9">
        <v>86.7</v>
      </c>
      <c r="D268" s="5">
        <v>13.7</v>
      </c>
    </row>
    <row r="269" spans="1:4" x14ac:dyDescent="0.25">
      <c r="A269" s="2" t="s">
        <v>137</v>
      </c>
      <c r="B269" s="2">
        <v>2025</v>
      </c>
      <c r="C269" s="8">
        <v>91.4</v>
      </c>
      <c r="D269" s="3">
        <v>22.1</v>
      </c>
    </row>
    <row r="270" spans="1:4" x14ac:dyDescent="0.25">
      <c r="A270" s="4" t="s">
        <v>137</v>
      </c>
      <c r="B270" s="4">
        <v>2025</v>
      </c>
      <c r="C270" s="9">
        <v>96.2</v>
      </c>
      <c r="D270" s="5">
        <v>48.2</v>
      </c>
    </row>
    <row r="271" spans="1:4" x14ac:dyDescent="0.25">
      <c r="A271" s="2" t="s">
        <v>137</v>
      </c>
      <c r="B271" s="2">
        <v>2025</v>
      </c>
      <c r="C271" s="8">
        <v>100</v>
      </c>
      <c r="D271" s="3">
        <v>100</v>
      </c>
    </row>
  </sheetData>
  <mergeCells count="1">
    <mergeCell ref="A1:D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37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7.7109375" customWidth="1"/>
    <col min="2" max="2" width="38.7109375" customWidth="1"/>
    <col min="3" max="3" width="21.7109375" customWidth="1"/>
    <col min="4" max="4" width="7.7109375" customWidth="1"/>
    <col min="5" max="5" width="15.7109375" customWidth="1"/>
    <col min="6" max="6" width="14.7109375" customWidth="1"/>
    <col min="7" max="8" width="15.7109375" customWidth="1"/>
    <col min="9" max="9" width="18.7109375" customWidth="1"/>
    <col min="10" max="10" width="14.7109375" customWidth="1"/>
    <col min="11" max="12" width="18.7109375" customWidth="1"/>
    <col min="13" max="13" width="20.7109375" customWidth="1"/>
    <col min="14" max="14" width="21.7109375" customWidth="1"/>
    <col min="15" max="15" width="18.7109375" customWidth="1"/>
  </cols>
  <sheetData>
    <row r="1" spans="1:15" ht="20.100000000000001" customHeight="1" x14ac:dyDescent="0.25">
      <c r="A1" s="18" t="s">
        <v>171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15" ht="38.1" customHeight="1" x14ac:dyDescent="0.25">
      <c r="A2" s="1" t="s">
        <v>155</v>
      </c>
      <c r="B2" s="1" t="s">
        <v>156</v>
      </c>
      <c r="C2" s="1" t="s">
        <v>157</v>
      </c>
      <c r="D2" s="1" t="s">
        <v>0</v>
      </c>
      <c r="E2" s="1" t="s">
        <v>158</v>
      </c>
      <c r="F2" s="1" t="s">
        <v>159</v>
      </c>
      <c r="G2" s="1" t="s">
        <v>12</v>
      </c>
      <c r="H2" s="1" t="s">
        <v>160</v>
      </c>
      <c r="I2" s="1" t="s">
        <v>161</v>
      </c>
      <c r="J2" s="1" t="s">
        <v>162</v>
      </c>
      <c r="K2" s="1" t="s">
        <v>163</v>
      </c>
      <c r="L2" s="1" t="s">
        <v>164</v>
      </c>
      <c r="M2" s="1" t="s">
        <v>15</v>
      </c>
      <c r="N2" s="1" t="s">
        <v>165</v>
      </c>
      <c r="O2" s="1" t="s">
        <v>166</v>
      </c>
    </row>
    <row r="3" spans="1:15" x14ac:dyDescent="0.25">
      <c r="A3" s="2">
        <v>16</v>
      </c>
      <c r="B3" s="2" t="s">
        <v>167</v>
      </c>
      <c r="C3" s="2" t="s">
        <v>7</v>
      </c>
      <c r="D3" s="2">
        <v>2019</v>
      </c>
      <c r="E3" s="3">
        <v>858824307</v>
      </c>
      <c r="F3" s="3">
        <v>24757798</v>
      </c>
      <c r="G3" s="3">
        <v>834066509</v>
      </c>
      <c r="H3" s="3">
        <v>1588711063</v>
      </c>
      <c r="I3" s="2">
        <v>123</v>
      </c>
      <c r="J3" s="2">
        <v>63</v>
      </c>
      <c r="K3" s="2"/>
      <c r="L3" s="2"/>
      <c r="M3" s="2"/>
      <c r="N3" s="2"/>
      <c r="O3" s="2"/>
    </row>
    <row r="4" spans="1:15" x14ac:dyDescent="0.25">
      <c r="A4" s="4">
        <v>16</v>
      </c>
      <c r="B4" s="4" t="s">
        <v>167</v>
      </c>
      <c r="C4" s="4" t="s">
        <v>7</v>
      </c>
      <c r="D4" s="4">
        <v>2020</v>
      </c>
      <c r="E4" s="5">
        <v>988363735</v>
      </c>
      <c r="F4" s="5">
        <v>19541431</v>
      </c>
      <c r="G4" s="5">
        <v>968822304</v>
      </c>
      <c r="H4" s="5">
        <v>1881689029</v>
      </c>
      <c r="I4" s="4">
        <v>125</v>
      </c>
      <c r="J4" s="4">
        <v>65</v>
      </c>
      <c r="K4" s="6">
        <v>15.1</v>
      </c>
      <c r="L4" s="7">
        <v>-21.1</v>
      </c>
      <c r="M4" s="6">
        <v>16.2</v>
      </c>
      <c r="N4" s="6">
        <v>18.399999999999999</v>
      </c>
      <c r="O4" s="6">
        <v>2</v>
      </c>
    </row>
    <row r="5" spans="1:15" x14ac:dyDescent="0.25">
      <c r="A5" s="2">
        <v>16</v>
      </c>
      <c r="B5" s="2" t="s">
        <v>167</v>
      </c>
      <c r="C5" s="2" t="s">
        <v>7</v>
      </c>
      <c r="D5" s="2">
        <v>2021</v>
      </c>
      <c r="E5" s="3">
        <v>1446131975</v>
      </c>
      <c r="F5" s="3">
        <v>31827051</v>
      </c>
      <c r="G5" s="3">
        <v>1414304924</v>
      </c>
      <c r="H5" s="3">
        <v>1908313632</v>
      </c>
      <c r="I5" s="2">
        <v>126</v>
      </c>
      <c r="J5" s="2">
        <v>60</v>
      </c>
      <c r="K5" s="6">
        <v>46.3</v>
      </c>
      <c r="L5" s="6">
        <v>62.9</v>
      </c>
      <c r="M5" s="6">
        <v>46</v>
      </c>
      <c r="N5" s="6">
        <v>1.4</v>
      </c>
      <c r="O5" s="6">
        <v>1</v>
      </c>
    </row>
    <row r="6" spans="1:15" x14ac:dyDescent="0.25">
      <c r="A6" s="4">
        <v>16</v>
      </c>
      <c r="B6" s="4" t="s">
        <v>167</v>
      </c>
      <c r="C6" s="4" t="s">
        <v>7</v>
      </c>
      <c r="D6" s="4">
        <v>2022</v>
      </c>
      <c r="E6" s="5">
        <v>1440624777</v>
      </c>
      <c r="F6" s="5">
        <v>33187312</v>
      </c>
      <c r="G6" s="5">
        <v>1407437465</v>
      </c>
      <c r="H6" s="5">
        <v>1839694394</v>
      </c>
      <c r="I6" s="4">
        <v>122</v>
      </c>
      <c r="J6" s="4">
        <v>71</v>
      </c>
      <c r="K6" s="7">
        <v>-0.4</v>
      </c>
      <c r="L6" s="6">
        <v>4.3</v>
      </c>
      <c r="M6" s="7">
        <v>-0.5</v>
      </c>
      <c r="N6" s="7">
        <v>-3.6</v>
      </c>
      <c r="O6" s="7">
        <v>-4</v>
      </c>
    </row>
    <row r="7" spans="1:15" x14ac:dyDescent="0.25">
      <c r="A7" s="2">
        <v>16</v>
      </c>
      <c r="B7" s="2" t="s">
        <v>167</v>
      </c>
      <c r="C7" s="2" t="s">
        <v>7</v>
      </c>
      <c r="D7" s="2">
        <v>2023</v>
      </c>
      <c r="E7" s="3">
        <v>1109375093</v>
      </c>
      <c r="F7" s="3">
        <v>34543812</v>
      </c>
      <c r="G7" s="3">
        <v>1074831281</v>
      </c>
      <c r="H7" s="3">
        <v>1751497933</v>
      </c>
      <c r="I7" s="2">
        <v>127</v>
      </c>
      <c r="J7" s="2">
        <v>70</v>
      </c>
      <c r="K7" s="7">
        <v>-23</v>
      </c>
      <c r="L7" s="6">
        <v>4.0999999999999996</v>
      </c>
      <c r="M7" s="7">
        <v>-23.6</v>
      </c>
      <c r="N7" s="7">
        <v>-4.8</v>
      </c>
      <c r="O7" s="6">
        <v>5</v>
      </c>
    </row>
    <row r="8" spans="1:15" x14ac:dyDescent="0.25">
      <c r="A8" s="4">
        <v>16</v>
      </c>
      <c r="B8" s="4" t="s">
        <v>167</v>
      </c>
      <c r="C8" s="4" t="s">
        <v>7</v>
      </c>
      <c r="D8" s="4">
        <v>2024</v>
      </c>
      <c r="E8" s="5">
        <v>1298661200</v>
      </c>
      <c r="F8" s="5">
        <v>43770853</v>
      </c>
      <c r="G8" s="5">
        <v>1254890347</v>
      </c>
      <c r="H8" s="5">
        <v>2089992945</v>
      </c>
      <c r="I8" s="4">
        <v>131</v>
      </c>
      <c r="J8" s="4">
        <v>72</v>
      </c>
      <c r="K8" s="6">
        <v>17.100000000000001</v>
      </c>
      <c r="L8" s="6">
        <v>26.7</v>
      </c>
      <c r="M8" s="6">
        <v>16.8</v>
      </c>
      <c r="N8" s="6">
        <v>19.3</v>
      </c>
      <c r="O8" s="6">
        <v>4</v>
      </c>
    </row>
    <row r="9" spans="1:15" x14ac:dyDescent="0.25">
      <c r="A9" s="2">
        <v>16</v>
      </c>
      <c r="B9" s="2" t="s">
        <v>167</v>
      </c>
      <c r="C9" s="2" t="s">
        <v>7</v>
      </c>
      <c r="D9" s="2">
        <v>2025</v>
      </c>
      <c r="E9" s="3">
        <v>1172015840</v>
      </c>
      <c r="F9" s="3">
        <v>48169425</v>
      </c>
      <c r="G9" s="3">
        <v>1123846415</v>
      </c>
      <c r="H9" s="3">
        <v>2086603674</v>
      </c>
      <c r="I9" s="2">
        <v>126</v>
      </c>
      <c r="J9" s="2">
        <v>75</v>
      </c>
      <c r="K9" s="7">
        <v>-9.8000000000000007</v>
      </c>
      <c r="L9" s="6">
        <v>10</v>
      </c>
      <c r="M9" s="7">
        <v>-10.4</v>
      </c>
      <c r="N9" s="7">
        <v>-0.2</v>
      </c>
      <c r="O9" s="7">
        <v>-5</v>
      </c>
    </row>
    <row r="10" spans="1:15" x14ac:dyDescent="0.25">
      <c r="A10" s="4">
        <v>17</v>
      </c>
      <c r="B10" s="4" t="s">
        <v>168</v>
      </c>
      <c r="C10" s="4" t="s">
        <v>7</v>
      </c>
      <c r="D10" s="4">
        <v>2019</v>
      </c>
      <c r="E10" s="5">
        <v>0</v>
      </c>
      <c r="F10" s="5">
        <v>1341</v>
      </c>
      <c r="G10" s="5">
        <v>-1341</v>
      </c>
      <c r="H10" s="5">
        <v>0</v>
      </c>
      <c r="I10" s="4">
        <v>0</v>
      </c>
      <c r="J10" s="4">
        <v>0</v>
      </c>
      <c r="K10" s="4"/>
      <c r="L10" s="4"/>
      <c r="M10" s="4"/>
      <c r="N10" s="4"/>
      <c r="O10" s="4"/>
    </row>
    <row r="11" spans="1:15" x14ac:dyDescent="0.25">
      <c r="A11" s="2">
        <v>17</v>
      </c>
      <c r="B11" s="2" t="s">
        <v>169</v>
      </c>
      <c r="C11" s="2" t="s">
        <v>8</v>
      </c>
      <c r="D11" s="2">
        <v>2019</v>
      </c>
      <c r="E11" s="3">
        <v>272524483</v>
      </c>
      <c r="F11" s="3">
        <v>117995991</v>
      </c>
      <c r="G11" s="3">
        <v>154528492</v>
      </c>
      <c r="H11" s="3">
        <v>358261811</v>
      </c>
      <c r="I11" s="2">
        <v>93</v>
      </c>
      <c r="J11" s="2">
        <v>83</v>
      </c>
      <c r="K11" s="6" t="e">
        <f>1/0</f>
        <v>#DIV/0!</v>
      </c>
      <c r="L11" s="6">
        <v>8799004.5</v>
      </c>
      <c r="M11" s="6">
        <v>11523477.5</v>
      </c>
      <c r="N11" s="6" t="e">
        <f>1/0</f>
        <v>#DIV/0!</v>
      </c>
      <c r="O11" s="6">
        <v>93</v>
      </c>
    </row>
    <row r="12" spans="1:15" x14ac:dyDescent="0.25">
      <c r="A12" s="4">
        <v>17</v>
      </c>
      <c r="B12" s="4" t="s">
        <v>169</v>
      </c>
      <c r="C12" s="4" t="s">
        <v>8</v>
      </c>
      <c r="D12" s="4">
        <v>2020</v>
      </c>
      <c r="E12" s="5">
        <v>255163706</v>
      </c>
      <c r="F12" s="5">
        <v>98719216</v>
      </c>
      <c r="G12" s="5">
        <v>156444490</v>
      </c>
      <c r="H12" s="5">
        <v>383830228</v>
      </c>
      <c r="I12" s="4">
        <v>93</v>
      </c>
      <c r="J12" s="4">
        <v>86</v>
      </c>
      <c r="K12" s="7">
        <v>-6.4</v>
      </c>
      <c r="L12" s="7">
        <v>-16.3</v>
      </c>
      <c r="M12" s="6">
        <v>1.2</v>
      </c>
      <c r="N12" s="6">
        <v>7.1</v>
      </c>
      <c r="O12" s="9">
        <v>0</v>
      </c>
    </row>
    <row r="13" spans="1:15" x14ac:dyDescent="0.25">
      <c r="A13" s="2">
        <v>17</v>
      </c>
      <c r="B13" s="2" t="s">
        <v>168</v>
      </c>
      <c r="C13" s="2" t="s">
        <v>7</v>
      </c>
      <c r="D13" s="2">
        <v>2020</v>
      </c>
      <c r="E13" s="3">
        <v>0</v>
      </c>
      <c r="F13" s="3">
        <v>7469</v>
      </c>
      <c r="G13" s="3">
        <v>-7469</v>
      </c>
      <c r="H13" s="3">
        <v>0</v>
      </c>
      <c r="I13" s="2">
        <v>0</v>
      </c>
      <c r="J13" s="2">
        <v>0</v>
      </c>
      <c r="K13" s="7">
        <v>-100</v>
      </c>
      <c r="L13" s="7">
        <v>-100</v>
      </c>
      <c r="M13" s="7">
        <v>-100</v>
      </c>
      <c r="N13" s="7">
        <v>-100</v>
      </c>
      <c r="O13" s="7">
        <v>-93</v>
      </c>
    </row>
    <row r="14" spans="1:15" x14ac:dyDescent="0.25">
      <c r="A14" s="4">
        <v>17</v>
      </c>
      <c r="B14" s="4" t="s">
        <v>169</v>
      </c>
      <c r="C14" s="4" t="s">
        <v>8</v>
      </c>
      <c r="D14" s="4">
        <v>2021</v>
      </c>
      <c r="E14" s="5">
        <v>287619476</v>
      </c>
      <c r="F14" s="5">
        <v>157312014</v>
      </c>
      <c r="G14" s="5">
        <v>130307462</v>
      </c>
      <c r="H14" s="5">
        <v>357180080</v>
      </c>
      <c r="I14" s="4">
        <v>102</v>
      </c>
      <c r="J14" s="4">
        <v>89</v>
      </c>
      <c r="K14" s="6" t="e">
        <f>1/0</f>
        <v>#DIV/0!</v>
      </c>
      <c r="L14" s="6">
        <v>2106099.1</v>
      </c>
      <c r="M14" s="6">
        <v>1744744</v>
      </c>
      <c r="N14" s="6" t="e">
        <f>1/0</f>
        <v>#DIV/0!</v>
      </c>
      <c r="O14" s="6">
        <v>102</v>
      </c>
    </row>
    <row r="15" spans="1:15" x14ac:dyDescent="0.25">
      <c r="A15" s="2">
        <v>17</v>
      </c>
      <c r="B15" s="2" t="s">
        <v>168</v>
      </c>
      <c r="C15" s="2" t="s">
        <v>7</v>
      </c>
      <c r="D15" s="2">
        <v>2021</v>
      </c>
      <c r="E15" s="3">
        <v>0</v>
      </c>
      <c r="F15" s="3">
        <v>11768</v>
      </c>
      <c r="G15" s="3">
        <v>-11768</v>
      </c>
      <c r="H15" s="3">
        <v>0</v>
      </c>
      <c r="I15" s="2">
        <v>0</v>
      </c>
      <c r="J15" s="2">
        <v>0</v>
      </c>
      <c r="K15" s="7">
        <v>-100</v>
      </c>
      <c r="L15" s="7">
        <v>-100</v>
      </c>
      <c r="M15" s="7">
        <v>-100</v>
      </c>
      <c r="N15" s="7">
        <v>-100</v>
      </c>
      <c r="O15" s="7">
        <v>-102</v>
      </c>
    </row>
    <row r="16" spans="1:15" x14ac:dyDescent="0.25">
      <c r="A16" s="4">
        <v>17</v>
      </c>
      <c r="B16" s="4" t="s">
        <v>168</v>
      </c>
      <c r="C16" s="4" t="s">
        <v>7</v>
      </c>
      <c r="D16" s="4">
        <v>2022</v>
      </c>
      <c r="E16" s="5">
        <v>0</v>
      </c>
      <c r="F16" s="5">
        <v>19875</v>
      </c>
      <c r="G16" s="5">
        <v>-19875</v>
      </c>
      <c r="H16" s="5">
        <v>0</v>
      </c>
      <c r="I16" s="4">
        <v>0</v>
      </c>
      <c r="J16" s="4">
        <v>0</v>
      </c>
      <c r="K16" s="4"/>
      <c r="L16" s="6">
        <v>68.900000000000006</v>
      </c>
      <c r="M16" s="7">
        <v>-68.900000000000006</v>
      </c>
      <c r="N16" s="4"/>
      <c r="O16" s="9">
        <v>0</v>
      </c>
    </row>
    <row r="17" spans="1:15" x14ac:dyDescent="0.25">
      <c r="A17" s="2">
        <v>17</v>
      </c>
      <c r="B17" s="2" t="s">
        <v>169</v>
      </c>
      <c r="C17" s="2" t="s">
        <v>8</v>
      </c>
      <c r="D17" s="2">
        <v>2022</v>
      </c>
      <c r="E17" s="3">
        <v>452414172</v>
      </c>
      <c r="F17" s="3">
        <v>152597861</v>
      </c>
      <c r="G17" s="3">
        <v>299816311</v>
      </c>
      <c r="H17" s="3">
        <v>475258556</v>
      </c>
      <c r="I17" s="2">
        <v>104</v>
      </c>
      <c r="J17" s="2">
        <v>92</v>
      </c>
      <c r="K17" s="6" t="e">
        <f>1/0</f>
        <v>#DIV/0!</v>
      </c>
      <c r="L17" s="6">
        <v>767688</v>
      </c>
      <c r="M17" s="6">
        <v>1508609.7</v>
      </c>
      <c r="N17" s="6" t="e">
        <f>1/0</f>
        <v>#DIV/0!</v>
      </c>
      <c r="O17" s="6">
        <v>104</v>
      </c>
    </row>
    <row r="18" spans="1:15" x14ac:dyDescent="0.25">
      <c r="A18" s="4">
        <v>17</v>
      </c>
      <c r="B18" s="4" t="s">
        <v>168</v>
      </c>
      <c r="C18" s="4" t="s">
        <v>7</v>
      </c>
      <c r="D18" s="4">
        <v>2023</v>
      </c>
      <c r="E18" s="5">
        <v>0</v>
      </c>
      <c r="F18" s="5">
        <v>17658</v>
      </c>
      <c r="G18" s="5">
        <v>-17658</v>
      </c>
      <c r="H18" s="5">
        <v>0</v>
      </c>
      <c r="I18" s="4">
        <v>0</v>
      </c>
      <c r="J18" s="4">
        <v>0</v>
      </c>
      <c r="K18" s="7">
        <v>-100</v>
      </c>
      <c r="L18" s="7">
        <v>-100</v>
      </c>
      <c r="M18" s="7">
        <v>-100</v>
      </c>
      <c r="N18" s="7">
        <v>-100</v>
      </c>
      <c r="O18" s="7">
        <v>-104</v>
      </c>
    </row>
    <row r="19" spans="1:15" x14ac:dyDescent="0.25">
      <c r="A19" s="2">
        <v>17</v>
      </c>
      <c r="B19" s="2" t="s">
        <v>169</v>
      </c>
      <c r="C19" s="2" t="s">
        <v>8</v>
      </c>
      <c r="D19" s="2">
        <v>2023</v>
      </c>
      <c r="E19" s="3">
        <v>349294927</v>
      </c>
      <c r="F19" s="3">
        <v>153551497</v>
      </c>
      <c r="G19" s="3">
        <v>195743430</v>
      </c>
      <c r="H19" s="3">
        <v>413577872</v>
      </c>
      <c r="I19" s="2">
        <v>100</v>
      </c>
      <c r="J19" s="2">
        <v>93</v>
      </c>
      <c r="K19" s="6" t="e">
        <f>1/0</f>
        <v>#DIV/0!</v>
      </c>
      <c r="L19" s="6">
        <v>869486</v>
      </c>
      <c r="M19" s="6">
        <v>1108625.5</v>
      </c>
      <c r="N19" s="6" t="e">
        <f>1/0</f>
        <v>#DIV/0!</v>
      </c>
      <c r="O19" s="6">
        <v>100</v>
      </c>
    </row>
    <row r="20" spans="1:15" x14ac:dyDescent="0.25">
      <c r="A20" s="4">
        <v>17</v>
      </c>
      <c r="B20" s="4" t="s">
        <v>169</v>
      </c>
      <c r="C20" s="4" t="s">
        <v>8</v>
      </c>
      <c r="D20" s="4">
        <v>2024</v>
      </c>
      <c r="E20" s="5">
        <v>330873864</v>
      </c>
      <c r="F20" s="5">
        <v>187953386</v>
      </c>
      <c r="G20" s="5">
        <v>142920478</v>
      </c>
      <c r="H20" s="5">
        <v>415948184</v>
      </c>
      <c r="I20" s="4">
        <v>105</v>
      </c>
      <c r="J20" s="4">
        <v>100</v>
      </c>
      <c r="K20" s="7">
        <v>-5.3</v>
      </c>
      <c r="L20" s="6">
        <v>22.4</v>
      </c>
      <c r="M20" s="7">
        <v>-27</v>
      </c>
      <c r="N20" s="6">
        <v>0.6</v>
      </c>
      <c r="O20" s="6">
        <v>5</v>
      </c>
    </row>
    <row r="21" spans="1:15" x14ac:dyDescent="0.25">
      <c r="A21" s="2">
        <v>17</v>
      </c>
      <c r="B21" s="2" t="s">
        <v>168</v>
      </c>
      <c r="C21" s="2" t="s">
        <v>7</v>
      </c>
      <c r="D21" s="2">
        <v>2024</v>
      </c>
      <c r="E21" s="3">
        <v>0</v>
      </c>
      <c r="F21" s="3">
        <v>11579</v>
      </c>
      <c r="G21" s="3">
        <v>-11579</v>
      </c>
      <c r="H21" s="3">
        <v>0</v>
      </c>
      <c r="I21" s="2">
        <v>0</v>
      </c>
      <c r="J21" s="2">
        <v>0</v>
      </c>
      <c r="K21" s="7">
        <v>-100</v>
      </c>
      <c r="L21" s="7">
        <v>-100</v>
      </c>
      <c r="M21" s="7">
        <v>-100</v>
      </c>
      <c r="N21" s="7">
        <v>-100</v>
      </c>
      <c r="O21" s="7">
        <v>-105</v>
      </c>
    </row>
    <row r="22" spans="1:15" x14ac:dyDescent="0.25">
      <c r="A22" s="4">
        <v>17</v>
      </c>
      <c r="B22" s="4" t="s">
        <v>169</v>
      </c>
      <c r="C22" s="4" t="s">
        <v>8</v>
      </c>
      <c r="D22" s="4">
        <v>2025</v>
      </c>
      <c r="E22" s="5">
        <v>371136784</v>
      </c>
      <c r="F22" s="5">
        <v>205591700</v>
      </c>
      <c r="G22" s="5">
        <v>165545084</v>
      </c>
      <c r="H22" s="5">
        <v>474123755</v>
      </c>
      <c r="I22" s="4">
        <v>105</v>
      </c>
      <c r="J22" s="4">
        <v>98</v>
      </c>
      <c r="K22" s="6" t="e">
        <f>1/0</f>
        <v>#DIV/0!</v>
      </c>
      <c r="L22" s="6">
        <v>1775456.6</v>
      </c>
      <c r="M22" s="6">
        <v>1429801</v>
      </c>
      <c r="N22" s="6" t="e">
        <f>1/0</f>
        <v>#DIV/0!</v>
      </c>
      <c r="O22" s="6">
        <v>105</v>
      </c>
    </row>
    <row r="23" spans="1:15" x14ac:dyDescent="0.25">
      <c r="A23" s="2">
        <v>17</v>
      </c>
      <c r="B23" s="2" t="s">
        <v>168</v>
      </c>
      <c r="C23" s="2" t="s">
        <v>7</v>
      </c>
      <c r="D23" s="2">
        <v>2025</v>
      </c>
      <c r="E23" s="3">
        <v>0</v>
      </c>
      <c r="F23" s="3">
        <v>12182</v>
      </c>
      <c r="G23" s="3">
        <v>-12182</v>
      </c>
      <c r="H23" s="3">
        <v>0</v>
      </c>
      <c r="I23" s="2">
        <v>0</v>
      </c>
      <c r="J23" s="2">
        <v>0</v>
      </c>
      <c r="K23" s="7">
        <v>-100</v>
      </c>
      <c r="L23" s="7">
        <v>-100</v>
      </c>
      <c r="M23" s="7">
        <v>-100</v>
      </c>
      <c r="N23" s="7">
        <v>-100</v>
      </c>
      <c r="O23" s="7">
        <v>-105</v>
      </c>
    </row>
    <row r="24" spans="1:15" x14ac:dyDescent="0.25">
      <c r="A24" s="4">
        <v>2</v>
      </c>
      <c r="B24" s="4" t="s">
        <v>170</v>
      </c>
      <c r="C24" s="4" t="s">
        <v>9</v>
      </c>
      <c r="D24" s="4">
        <v>2019</v>
      </c>
      <c r="E24" s="5">
        <v>11203115</v>
      </c>
      <c r="F24" s="5">
        <v>5663248</v>
      </c>
      <c r="G24" s="5">
        <v>5539867</v>
      </c>
      <c r="H24" s="5">
        <v>149690060</v>
      </c>
      <c r="I24" s="4">
        <v>43</v>
      </c>
      <c r="J24" s="4">
        <v>8</v>
      </c>
      <c r="K24" s="4"/>
      <c r="L24" s="4"/>
      <c r="M24" s="4"/>
      <c r="N24" s="4"/>
      <c r="O24" s="4"/>
    </row>
    <row r="25" spans="1:15" x14ac:dyDescent="0.25">
      <c r="A25" s="2">
        <v>2</v>
      </c>
      <c r="B25" s="2" t="s">
        <v>170</v>
      </c>
      <c r="C25" s="2" t="s">
        <v>9</v>
      </c>
      <c r="D25" s="2">
        <v>2020</v>
      </c>
      <c r="E25" s="3">
        <v>16465545</v>
      </c>
      <c r="F25" s="3">
        <v>5914154</v>
      </c>
      <c r="G25" s="3">
        <v>10551391</v>
      </c>
      <c r="H25" s="3">
        <v>208841664</v>
      </c>
      <c r="I25" s="2">
        <v>43</v>
      </c>
      <c r="J25" s="2">
        <v>8</v>
      </c>
      <c r="K25" s="6">
        <v>47</v>
      </c>
      <c r="L25" s="6">
        <v>4.4000000000000004</v>
      </c>
      <c r="M25" s="6">
        <v>90.5</v>
      </c>
      <c r="N25" s="6">
        <v>39.5</v>
      </c>
      <c r="O25" s="9">
        <v>0</v>
      </c>
    </row>
    <row r="26" spans="1:15" x14ac:dyDescent="0.25">
      <c r="A26" s="4">
        <v>2</v>
      </c>
      <c r="B26" s="4" t="s">
        <v>170</v>
      </c>
      <c r="C26" s="4" t="s">
        <v>9</v>
      </c>
      <c r="D26" s="4">
        <v>2021</v>
      </c>
      <c r="E26" s="5">
        <v>32215396</v>
      </c>
      <c r="F26" s="5">
        <v>13353461</v>
      </c>
      <c r="G26" s="5">
        <v>18861935</v>
      </c>
      <c r="H26" s="5">
        <v>356807989</v>
      </c>
      <c r="I26" s="4">
        <v>43</v>
      </c>
      <c r="J26" s="4">
        <v>7</v>
      </c>
      <c r="K26" s="6">
        <v>95.7</v>
      </c>
      <c r="L26" s="6">
        <v>125.8</v>
      </c>
      <c r="M26" s="6">
        <v>78.8</v>
      </c>
      <c r="N26" s="6">
        <v>70.900000000000006</v>
      </c>
      <c r="O26" s="9">
        <v>0</v>
      </c>
    </row>
    <row r="27" spans="1:15" x14ac:dyDescent="0.25">
      <c r="A27" s="2">
        <v>2</v>
      </c>
      <c r="B27" s="2" t="s">
        <v>170</v>
      </c>
      <c r="C27" s="2" t="s">
        <v>9</v>
      </c>
      <c r="D27" s="2">
        <v>2022</v>
      </c>
      <c r="E27" s="3">
        <v>62118350</v>
      </c>
      <c r="F27" s="3">
        <v>16164548</v>
      </c>
      <c r="G27" s="3">
        <v>45953802</v>
      </c>
      <c r="H27" s="3">
        <v>685578082</v>
      </c>
      <c r="I27" s="2">
        <v>47</v>
      </c>
      <c r="J27" s="2">
        <v>9</v>
      </c>
      <c r="K27" s="6">
        <v>92.8</v>
      </c>
      <c r="L27" s="6">
        <v>21.1</v>
      </c>
      <c r="M27" s="6">
        <v>143.6</v>
      </c>
      <c r="N27" s="6">
        <v>92.1</v>
      </c>
      <c r="O27" s="6">
        <v>4</v>
      </c>
    </row>
    <row r="28" spans="1:15" x14ac:dyDescent="0.25">
      <c r="A28" s="4">
        <v>2</v>
      </c>
      <c r="B28" s="4" t="s">
        <v>170</v>
      </c>
      <c r="C28" s="4" t="s">
        <v>9</v>
      </c>
      <c r="D28" s="4">
        <v>2023</v>
      </c>
      <c r="E28" s="5">
        <v>42129153</v>
      </c>
      <c r="F28" s="5">
        <v>19369884</v>
      </c>
      <c r="G28" s="5">
        <v>22759269</v>
      </c>
      <c r="H28" s="5">
        <v>493207644</v>
      </c>
      <c r="I28" s="4">
        <v>48</v>
      </c>
      <c r="J28" s="4">
        <v>11</v>
      </c>
      <c r="K28" s="7">
        <v>-32.200000000000003</v>
      </c>
      <c r="L28" s="6">
        <v>19.8</v>
      </c>
      <c r="M28" s="7">
        <v>-50.5</v>
      </c>
      <c r="N28" s="7">
        <v>-28.1</v>
      </c>
      <c r="O28" s="6">
        <v>1</v>
      </c>
    </row>
    <row r="29" spans="1:15" x14ac:dyDescent="0.25">
      <c r="A29" s="2">
        <v>2</v>
      </c>
      <c r="B29" s="2" t="s">
        <v>170</v>
      </c>
      <c r="C29" s="2" t="s">
        <v>9</v>
      </c>
      <c r="D29" s="2">
        <v>2024</v>
      </c>
      <c r="E29" s="3">
        <v>50718988</v>
      </c>
      <c r="F29" s="3">
        <v>13993827</v>
      </c>
      <c r="G29" s="3">
        <v>36725161</v>
      </c>
      <c r="H29" s="3">
        <v>566519208</v>
      </c>
      <c r="I29" s="2">
        <v>42</v>
      </c>
      <c r="J29" s="2">
        <v>9</v>
      </c>
      <c r="K29" s="6">
        <v>20.399999999999999</v>
      </c>
      <c r="L29" s="7">
        <v>-27.8</v>
      </c>
      <c r="M29" s="6">
        <v>61.4</v>
      </c>
      <c r="N29" s="6">
        <v>14.9</v>
      </c>
      <c r="O29" s="7">
        <v>-6</v>
      </c>
    </row>
    <row r="30" spans="1:15" x14ac:dyDescent="0.25">
      <c r="A30" s="4">
        <v>2</v>
      </c>
      <c r="B30" s="4" t="s">
        <v>170</v>
      </c>
      <c r="C30" s="4" t="s">
        <v>9</v>
      </c>
      <c r="D30" s="4">
        <v>2025</v>
      </c>
      <c r="E30" s="5">
        <v>49021632</v>
      </c>
      <c r="F30" s="5">
        <v>20725233</v>
      </c>
      <c r="G30" s="5">
        <v>28296399</v>
      </c>
      <c r="H30" s="5">
        <v>541961648</v>
      </c>
      <c r="I30" s="4">
        <v>47</v>
      </c>
      <c r="J30" s="4">
        <v>10</v>
      </c>
      <c r="K30" s="7">
        <v>-3.3</v>
      </c>
      <c r="L30" s="6">
        <v>48.1</v>
      </c>
      <c r="M30" s="7">
        <v>-23</v>
      </c>
      <c r="N30" s="7">
        <v>-4.3</v>
      </c>
      <c r="O30" s="6">
        <v>5</v>
      </c>
    </row>
    <row r="31" spans="1:15" x14ac:dyDescent="0.25">
      <c r="A31" s="2">
        <v>31</v>
      </c>
      <c r="B31" s="2" t="s">
        <v>168</v>
      </c>
      <c r="C31" s="2" t="s">
        <v>7</v>
      </c>
      <c r="D31" s="2">
        <v>2019</v>
      </c>
      <c r="E31" s="3">
        <v>275142463</v>
      </c>
      <c r="F31" s="3">
        <v>52162577</v>
      </c>
      <c r="G31" s="3">
        <v>222979886</v>
      </c>
      <c r="H31" s="3">
        <v>125609875</v>
      </c>
      <c r="I31" s="2">
        <v>105</v>
      </c>
      <c r="J31" s="2">
        <v>15</v>
      </c>
      <c r="K31" s="2"/>
      <c r="L31" s="2"/>
      <c r="M31" s="2"/>
      <c r="N31" s="2"/>
      <c r="O31" s="2"/>
    </row>
    <row r="32" spans="1:15" x14ac:dyDescent="0.25">
      <c r="A32" s="4">
        <v>31</v>
      </c>
      <c r="B32" s="4" t="s">
        <v>168</v>
      </c>
      <c r="C32" s="4" t="s">
        <v>7</v>
      </c>
      <c r="D32" s="4">
        <v>2020</v>
      </c>
      <c r="E32" s="5">
        <v>272336690</v>
      </c>
      <c r="F32" s="5">
        <v>54717693</v>
      </c>
      <c r="G32" s="5">
        <v>217618997</v>
      </c>
      <c r="H32" s="5">
        <v>125915246</v>
      </c>
      <c r="I32" s="4">
        <v>95</v>
      </c>
      <c r="J32" s="4">
        <v>15</v>
      </c>
      <c r="K32" s="7">
        <v>-1</v>
      </c>
      <c r="L32" s="6">
        <v>4.9000000000000004</v>
      </c>
      <c r="M32" s="7">
        <v>-2.4</v>
      </c>
      <c r="N32" s="6">
        <v>0.2</v>
      </c>
      <c r="O32" s="7">
        <v>-10</v>
      </c>
    </row>
    <row r="33" spans="1:15" x14ac:dyDescent="0.25">
      <c r="A33" s="2">
        <v>31</v>
      </c>
      <c r="B33" s="2" t="s">
        <v>168</v>
      </c>
      <c r="C33" s="2" t="s">
        <v>7</v>
      </c>
      <c r="D33" s="2">
        <v>2021</v>
      </c>
      <c r="E33" s="3">
        <v>365168237</v>
      </c>
      <c r="F33" s="3">
        <v>76546815</v>
      </c>
      <c r="G33" s="3">
        <v>288621422</v>
      </c>
      <c r="H33" s="3">
        <v>157663317</v>
      </c>
      <c r="I33" s="2">
        <v>90</v>
      </c>
      <c r="J33" s="2">
        <v>14</v>
      </c>
      <c r="K33" s="6">
        <v>34.1</v>
      </c>
      <c r="L33" s="6">
        <v>39.9</v>
      </c>
      <c r="M33" s="6">
        <v>32.6</v>
      </c>
      <c r="N33" s="6">
        <v>25.2</v>
      </c>
      <c r="O33" s="7">
        <v>-5</v>
      </c>
    </row>
    <row r="34" spans="1:15" x14ac:dyDescent="0.25">
      <c r="A34" s="4">
        <v>31</v>
      </c>
      <c r="B34" s="4" t="s">
        <v>168</v>
      </c>
      <c r="C34" s="4" t="s">
        <v>7</v>
      </c>
      <c r="D34" s="4">
        <v>2022</v>
      </c>
      <c r="E34" s="5">
        <v>338558899</v>
      </c>
      <c r="F34" s="5">
        <v>86749930</v>
      </c>
      <c r="G34" s="5">
        <v>251808969</v>
      </c>
      <c r="H34" s="5">
        <v>125885122</v>
      </c>
      <c r="I34" s="4">
        <v>99</v>
      </c>
      <c r="J34" s="4">
        <v>24</v>
      </c>
      <c r="K34" s="7">
        <v>-7.3</v>
      </c>
      <c r="L34" s="6">
        <v>13.3</v>
      </c>
      <c r="M34" s="7">
        <v>-12.8</v>
      </c>
      <c r="N34" s="7">
        <v>-20.2</v>
      </c>
      <c r="O34" s="6">
        <v>9</v>
      </c>
    </row>
    <row r="35" spans="1:15" x14ac:dyDescent="0.25">
      <c r="A35" s="2">
        <v>31</v>
      </c>
      <c r="B35" s="2" t="s">
        <v>168</v>
      </c>
      <c r="C35" s="2" t="s">
        <v>7</v>
      </c>
      <c r="D35" s="2">
        <v>2023</v>
      </c>
      <c r="E35" s="3">
        <v>253109987</v>
      </c>
      <c r="F35" s="3">
        <v>126533979</v>
      </c>
      <c r="G35" s="3">
        <v>126576008</v>
      </c>
      <c r="H35" s="3">
        <v>100263501</v>
      </c>
      <c r="I35" s="2">
        <v>102</v>
      </c>
      <c r="J35" s="2">
        <v>22</v>
      </c>
      <c r="K35" s="7">
        <v>-25.2</v>
      </c>
      <c r="L35" s="6">
        <v>45.9</v>
      </c>
      <c r="M35" s="7">
        <v>-49.7</v>
      </c>
      <c r="N35" s="7">
        <v>-20.399999999999999</v>
      </c>
      <c r="O35" s="6">
        <v>3</v>
      </c>
    </row>
    <row r="36" spans="1:15" x14ac:dyDescent="0.25">
      <c r="A36" s="4">
        <v>31</v>
      </c>
      <c r="B36" s="4" t="s">
        <v>168</v>
      </c>
      <c r="C36" s="4" t="s">
        <v>7</v>
      </c>
      <c r="D36" s="4">
        <v>2024</v>
      </c>
      <c r="E36" s="5">
        <v>251532828</v>
      </c>
      <c r="F36" s="5">
        <v>148058804</v>
      </c>
      <c r="G36" s="5">
        <v>103474024</v>
      </c>
      <c r="H36" s="5">
        <v>101967542</v>
      </c>
      <c r="I36" s="4">
        <v>106</v>
      </c>
      <c r="J36" s="4">
        <v>20</v>
      </c>
      <c r="K36" s="7">
        <v>-0.6</v>
      </c>
      <c r="L36" s="6">
        <v>17</v>
      </c>
      <c r="M36" s="7">
        <v>-18.3</v>
      </c>
      <c r="N36" s="6">
        <v>1.7</v>
      </c>
      <c r="O36" s="6">
        <v>4</v>
      </c>
    </row>
    <row r="37" spans="1:15" x14ac:dyDescent="0.25">
      <c r="A37" s="2">
        <v>31</v>
      </c>
      <c r="B37" s="2" t="s">
        <v>168</v>
      </c>
      <c r="C37" s="2" t="s">
        <v>7</v>
      </c>
      <c r="D37" s="2">
        <v>2025</v>
      </c>
      <c r="E37" s="3">
        <v>253193453</v>
      </c>
      <c r="F37" s="3">
        <v>162946837</v>
      </c>
      <c r="G37" s="3">
        <v>90246616</v>
      </c>
      <c r="H37" s="3">
        <v>105240699</v>
      </c>
      <c r="I37" s="2">
        <v>105</v>
      </c>
      <c r="J37" s="2">
        <v>22</v>
      </c>
      <c r="K37" s="6">
        <v>0.7</v>
      </c>
      <c r="L37" s="6">
        <v>10.1</v>
      </c>
      <c r="M37" s="7">
        <v>-12.8</v>
      </c>
      <c r="N37" s="6">
        <v>3.2</v>
      </c>
      <c r="O37" s="7">
        <v>-1</v>
      </c>
    </row>
  </sheetData>
  <mergeCells count="1">
    <mergeCell ref="A1:O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Z20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29.7109375" customWidth="1"/>
    <col min="2" max="2" width="7.7109375" customWidth="1"/>
    <col min="3" max="3" width="15.7109375" customWidth="1"/>
    <col min="4" max="4" width="16.7109375" customWidth="1"/>
    <col min="5" max="5" width="15.7109375" customWidth="1"/>
    <col min="6" max="6" width="14.7109375" customWidth="1"/>
    <col min="7" max="9" width="15.7109375" customWidth="1"/>
    <col min="10" max="10" width="16.7109375" customWidth="1"/>
    <col min="11" max="11" width="14.7109375" customWidth="1"/>
    <col min="12" max="13" width="17.7109375" customWidth="1"/>
    <col min="14" max="14" width="23.7109375" customWidth="1"/>
    <col min="15" max="16" width="13.7109375" customWidth="1"/>
    <col min="17" max="17" width="19.7109375" customWidth="1"/>
    <col min="18" max="19" width="21.7109375" customWidth="1"/>
    <col min="20" max="20" width="18.7109375" customWidth="1"/>
    <col min="21" max="22" width="21.7109375" customWidth="1"/>
    <col min="23" max="23" width="18.7109375" customWidth="1"/>
    <col min="24" max="25" width="20.7109375" customWidth="1"/>
    <col min="26" max="26" width="17.7109375" customWidth="1"/>
  </cols>
  <sheetData>
    <row r="1" spans="1:26" ht="20.100000000000001" customHeight="1" x14ac:dyDescent="0.25">
      <c r="A1" s="18" t="s">
        <v>198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 ht="38.1" customHeight="1" x14ac:dyDescent="0.25">
      <c r="A2" s="1" t="s">
        <v>122</v>
      </c>
      <c r="B2" s="1" t="s">
        <v>0</v>
      </c>
      <c r="C2" s="1" t="s">
        <v>172</v>
      </c>
      <c r="D2" s="1" t="s">
        <v>173</v>
      </c>
      <c r="E2" s="1" t="s">
        <v>174</v>
      </c>
      <c r="F2" s="1" t="s">
        <v>175</v>
      </c>
      <c r="G2" s="1" t="s">
        <v>176</v>
      </c>
      <c r="H2" s="1" t="s">
        <v>177</v>
      </c>
      <c r="I2" s="1" t="s">
        <v>178</v>
      </c>
      <c r="J2" s="1" t="s">
        <v>179</v>
      </c>
      <c r="K2" s="1" t="s">
        <v>180</v>
      </c>
      <c r="L2" s="1" t="s">
        <v>181</v>
      </c>
      <c r="M2" s="1" t="s">
        <v>182</v>
      </c>
      <c r="N2" s="1" t="s">
        <v>183</v>
      </c>
      <c r="O2" s="1" t="s">
        <v>184</v>
      </c>
      <c r="P2" s="1" t="s">
        <v>185</v>
      </c>
      <c r="Q2" s="1" t="s">
        <v>186</v>
      </c>
      <c r="R2" s="1" t="s">
        <v>187</v>
      </c>
      <c r="S2" s="1" t="s">
        <v>188</v>
      </c>
      <c r="T2" s="1" t="s">
        <v>189</v>
      </c>
      <c r="U2" s="1" t="s">
        <v>190</v>
      </c>
      <c r="V2" s="1" t="s">
        <v>191</v>
      </c>
      <c r="W2" s="1" t="s">
        <v>192</v>
      </c>
      <c r="X2" s="1" t="s">
        <v>193</v>
      </c>
      <c r="Y2" s="1" t="s">
        <v>194</v>
      </c>
      <c r="Z2" s="1" t="s">
        <v>195</v>
      </c>
    </row>
    <row r="3" spans="1:26" x14ac:dyDescent="0.25">
      <c r="A3" s="2" t="s">
        <v>134</v>
      </c>
      <c r="B3" s="2">
        <v>2023</v>
      </c>
      <c r="C3" s="2">
        <v>42129153</v>
      </c>
      <c r="D3" s="2">
        <v>302663768</v>
      </c>
      <c r="E3" s="8">
        <v>13.92</v>
      </c>
      <c r="F3" s="2">
        <v>19369884</v>
      </c>
      <c r="G3" s="2">
        <v>64615656</v>
      </c>
      <c r="H3" s="8">
        <v>29.98</v>
      </c>
      <c r="I3" s="3">
        <v>493207644</v>
      </c>
      <c r="J3" s="3">
        <v>1494415866</v>
      </c>
      <c r="K3" s="8">
        <v>33</v>
      </c>
      <c r="L3" s="2">
        <v>48</v>
      </c>
      <c r="M3" s="2">
        <v>102</v>
      </c>
      <c r="N3" s="8">
        <v>47.06</v>
      </c>
      <c r="O3" s="2">
        <v>11</v>
      </c>
      <c r="P3" s="2">
        <v>21</v>
      </c>
      <c r="Q3" s="8">
        <v>52.38</v>
      </c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4" t="s">
        <v>134</v>
      </c>
      <c r="B4" s="4">
        <v>2024</v>
      </c>
      <c r="C4" s="4">
        <v>50718988</v>
      </c>
      <c r="D4" s="4">
        <v>344008910</v>
      </c>
      <c r="E4" s="9">
        <v>14.74</v>
      </c>
      <c r="F4" s="4">
        <v>13993827</v>
      </c>
      <c r="G4" s="4">
        <v>67908970</v>
      </c>
      <c r="H4" s="9">
        <v>20.61</v>
      </c>
      <c r="I4" s="5">
        <v>566519208</v>
      </c>
      <c r="J4" s="5">
        <v>1327835484</v>
      </c>
      <c r="K4" s="9">
        <v>42.66</v>
      </c>
      <c r="L4" s="4">
        <v>42</v>
      </c>
      <c r="M4" s="4">
        <v>100</v>
      </c>
      <c r="N4" s="9">
        <v>42</v>
      </c>
      <c r="O4" s="4">
        <v>9</v>
      </c>
      <c r="P4" s="4">
        <v>19</v>
      </c>
      <c r="Q4" s="9">
        <v>47.37</v>
      </c>
      <c r="R4" s="6">
        <v>20.399999999999999</v>
      </c>
      <c r="S4" s="6">
        <v>13.7</v>
      </c>
      <c r="T4" s="6">
        <v>0.82</v>
      </c>
      <c r="U4" s="7">
        <v>-27.8</v>
      </c>
      <c r="V4" s="6">
        <v>5.0999999999999996</v>
      </c>
      <c r="W4" s="7">
        <v>-9.3699999999999992</v>
      </c>
      <c r="X4" s="6">
        <v>14.9</v>
      </c>
      <c r="Y4" s="7">
        <v>-11.1</v>
      </c>
      <c r="Z4" s="6">
        <v>9.66</v>
      </c>
    </row>
    <row r="5" spans="1:26" x14ac:dyDescent="0.25">
      <c r="A5" s="2" t="s">
        <v>134</v>
      </c>
      <c r="B5" s="2">
        <v>2025</v>
      </c>
      <c r="C5" s="2">
        <v>49021632</v>
      </c>
      <c r="D5" s="2">
        <v>351907316</v>
      </c>
      <c r="E5" s="8">
        <v>13.93</v>
      </c>
      <c r="F5" s="2">
        <v>20725233</v>
      </c>
      <c r="G5" s="2">
        <v>75060018</v>
      </c>
      <c r="H5" s="8">
        <v>27.61</v>
      </c>
      <c r="I5" s="3">
        <v>541961648</v>
      </c>
      <c r="J5" s="3">
        <v>1096214724</v>
      </c>
      <c r="K5" s="8">
        <v>49.44</v>
      </c>
      <c r="L5" s="2">
        <v>47</v>
      </c>
      <c r="M5" s="2">
        <v>100</v>
      </c>
      <c r="N5" s="8">
        <v>47</v>
      </c>
      <c r="O5" s="2">
        <v>10</v>
      </c>
      <c r="P5" s="2">
        <v>21</v>
      </c>
      <c r="Q5" s="8">
        <v>47.62</v>
      </c>
      <c r="R5" s="7">
        <v>-3.3</v>
      </c>
      <c r="S5" s="6">
        <v>2.2999999999999998</v>
      </c>
      <c r="T5" s="7">
        <v>-0.81</v>
      </c>
      <c r="U5" s="6">
        <v>48.1</v>
      </c>
      <c r="V5" s="6">
        <v>10.5</v>
      </c>
      <c r="W5" s="6">
        <v>7</v>
      </c>
      <c r="X5" s="7">
        <v>-4.3</v>
      </c>
      <c r="Y5" s="7">
        <v>-17.399999999999999</v>
      </c>
      <c r="Z5" s="6">
        <v>6.78</v>
      </c>
    </row>
    <row r="6" spans="1:26" x14ac:dyDescent="0.25">
      <c r="A6" s="4" t="s">
        <v>196</v>
      </c>
      <c r="B6" s="4">
        <v>2023</v>
      </c>
      <c r="C6" s="4">
        <v>1766523806</v>
      </c>
      <c r="D6" s="4">
        <v>14715190221</v>
      </c>
      <c r="E6" s="9">
        <v>12</v>
      </c>
      <c r="F6" s="4">
        <v>362466507</v>
      </c>
      <c r="G6" s="4">
        <v>1671230677</v>
      </c>
      <c r="H6" s="9">
        <v>21.69</v>
      </c>
      <c r="I6" s="5">
        <v>2760510217</v>
      </c>
      <c r="J6" s="5">
        <v>29447403703</v>
      </c>
      <c r="K6" s="9">
        <v>9.3699999999999992</v>
      </c>
      <c r="L6" s="4">
        <v>157</v>
      </c>
      <c r="M6" s="4">
        <v>211</v>
      </c>
      <c r="N6" s="9">
        <v>74.41</v>
      </c>
      <c r="O6" s="4">
        <v>205</v>
      </c>
      <c r="P6" s="4">
        <v>351</v>
      </c>
      <c r="Q6" s="9">
        <v>58.4</v>
      </c>
      <c r="R6" s="4"/>
      <c r="S6" s="4"/>
      <c r="T6" s="4"/>
      <c r="U6" s="4"/>
      <c r="V6" s="4"/>
      <c r="W6" s="4"/>
      <c r="X6" s="4"/>
      <c r="Y6" s="4"/>
      <c r="Z6" s="4"/>
    </row>
    <row r="7" spans="1:26" x14ac:dyDescent="0.25">
      <c r="A7" s="2" t="s">
        <v>196</v>
      </c>
      <c r="B7" s="2">
        <v>2024</v>
      </c>
      <c r="C7" s="2">
        <v>1944148561</v>
      </c>
      <c r="D7" s="2">
        <v>17797656923</v>
      </c>
      <c r="E7" s="8">
        <v>10.92</v>
      </c>
      <c r="F7" s="2">
        <v>433751338</v>
      </c>
      <c r="G7" s="2">
        <v>1870543378</v>
      </c>
      <c r="H7" s="8">
        <v>23.19</v>
      </c>
      <c r="I7" s="3">
        <v>3176504571</v>
      </c>
      <c r="J7" s="3">
        <v>30813840258</v>
      </c>
      <c r="K7" s="8">
        <v>10.31</v>
      </c>
      <c r="L7" s="2">
        <v>160</v>
      </c>
      <c r="M7" s="2">
        <v>215</v>
      </c>
      <c r="N7" s="8">
        <v>74.42</v>
      </c>
      <c r="O7" s="2">
        <v>209</v>
      </c>
      <c r="P7" s="2">
        <v>348</v>
      </c>
      <c r="Q7" s="8">
        <v>60.06</v>
      </c>
      <c r="R7" s="6">
        <v>10.1</v>
      </c>
      <c r="S7" s="6">
        <v>20.9</v>
      </c>
      <c r="T7" s="7">
        <v>-1.08</v>
      </c>
      <c r="U7" s="6">
        <v>19.7</v>
      </c>
      <c r="V7" s="6">
        <v>11.9</v>
      </c>
      <c r="W7" s="6">
        <v>1.5</v>
      </c>
      <c r="X7" s="6">
        <v>15.1</v>
      </c>
      <c r="Y7" s="6">
        <v>4.5999999999999996</v>
      </c>
      <c r="Z7" s="6">
        <v>0.94</v>
      </c>
    </row>
    <row r="8" spans="1:26" x14ac:dyDescent="0.25">
      <c r="A8" s="4" t="s">
        <v>196</v>
      </c>
      <c r="B8" s="4">
        <v>2025</v>
      </c>
      <c r="C8" s="4">
        <v>1861447458</v>
      </c>
      <c r="D8" s="4">
        <v>16984631570</v>
      </c>
      <c r="E8" s="9">
        <v>10.96</v>
      </c>
      <c r="F8" s="4">
        <v>477662363</v>
      </c>
      <c r="G8" s="4">
        <v>2087540242</v>
      </c>
      <c r="H8" s="9">
        <v>22.88</v>
      </c>
      <c r="I8" s="5">
        <v>3211146259</v>
      </c>
      <c r="J8" s="5">
        <v>32328575500</v>
      </c>
      <c r="K8" s="9">
        <v>9.93</v>
      </c>
      <c r="L8" s="4">
        <v>153</v>
      </c>
      <c r="M8" s="4">
        <v>209</v>
      </c>
      <c r="N8" s="9">
        <v>73.209999999999994</v>
      </c>
      <c r="O8" s="4">
        <v>213</v>
      </c>
      <c r="P8" s="4">
        <v>344</v>
      </c>
      <c r="Q8" s="9">
        <v>61.92</v>
      </c>
      <c r="R8" s="7">
        <v>-4.3</v>
      </c>
      <c r="S8" s="7">
        <v>-4.5999999999999996</v>
      </c>
      <c r="T8" s="6">
        <v>0.04</v>
      </c>
      <c r="U8" s="6">
        <v>10.1</v>
      </c>
      <c r="V8" s="6">
        <v>11.6</v>
      </c>
      <c r="W8" s="7">
        <v>-0.31</v>
      </c>
      <c r="X8" s="6">
        <v>1.1000000000000001</v>
      </c>
      <c r="Y8" s="6">
        <v>4.9000000000000004</v>
      </c>
      <c r="Z8" s="7">
        <v>-0.38</v>
      </c>
    </row>
    <row r="9" spans="1:26" x14ac:dyDescent="0.25">
      <c r="A9" s="2" t="s">
        <v>135</v>
      </c>
      <c r="B9" s="2">
        <v>2023</v>
      </c>
      <c r="C9" s="2">
        <v>1109375093</v>
      </c>
      <c r="D9" s="2">
        <v>3263494144</v>
      </c>
      <c r="E9" s="8">
        <v>33.99</v>
      </c>
      <c r="F9" s="2">
        <v>34543812</v>
      </c>
      <c r="G9" s="2">
        <v>137841471</v>
      </c>
      <c r="H9" s="8">
        <v>25.06</v>
      </c>
      <c r="I9" s="3">
        <v>1751497933</v>
      </c>
      <c r="J9" s="3">
        <v>6288906306</v>
      </c>
      <c r="K9" s="8">
        <v>27.85</v>
      </c>
      <c r="L9" s="2">
        <v>127</v>
      </c>
      <c r="M9" s="2">
        <v>175</v>
      </c>
      <c r="N9" s="8">
        <v>72.569999999999993</v>
      </c>
      <c r="O9" s="2">
        <v>70</v>
      </c>
      <c r="P9" s="2">
        <v>116</v>
      </c>
      <c r="Q9" s="8">
        <v>60.34</v>
      </c>
      <c r="R9" s="2"/>
      <c r="S9" s="2"/>
      <c r="T9" s="2"/>
      <c r="U9" s="2"/>
      <c r="V9" s="2"/>
      <c r="W9" s="2"/>
      <c r="X9" s="2"/>
      <c r="Y9" s="2"/>
      <c r="Z9" s="2"/>
    </row>
    <row r="10" spans="1:26" x14ac:dyDescent="0.25">
      <c r="A10" s="4" t="s">
        <v>135</v>
      </c>
      <c r="B10" s="4">
        <v>2024</v>
      </c>
      <c r="C10" s="4">
        <v>1298661200</v>
      </c>
      <c r="D10" s="4">
        <v>3506154734</v>
      </c>
      <c r="E10" s="9">
        <v>37.04</v>
      </c>
      <c r="F10" s="4">
        <v>43770853</v>
      </c>
      <c r="G10" s="4">
        <v>149247657</v>
      </c>
      <c r="H10" s="9">
        <v>29.33</v>
      </c>
      <c r="I10" s="5">
        <v>2089992945</v>
      </c>
      <c r="J10" s="5">
        <v>6877909238</v>
      </c>
      <c r="K10" s="9">
        <v>30.39</v>
      </c>
      <c r="L10" s="4">
        <v>131</v>
      </c>
      <c r="M10" s="4">
        <v>172</v>
      </c>
      <c r="N10" s="9">
        <v>76.16</v>
      </c>
      <c r="O10" s="4">
        <v>72</v>
      </c>
      <c r="P10" s="4">
        <v>115</v>
      </c>
      <c r="Q10" s="9">
        <v>62.61</v>
      </c>
      <c r="R10" s="6">
        <v>17.100000000000001</v>
      </c>
      <c r="S10" s="6">
        <v>7.4</v>
      </c>
      <c r="T10" s="6">
        <v>3.05</v>
      </c>
      <c r="U10" s="6">
        <v>26.7</v>
      </c>
      <c r="V10" s="6">
        <v>8.3000000000000007</v>
      </c>
      <c r="W10" s="6">
        <v>4.2699999999999996</v>
      </c>
      <c r="X10" s="6">
        <v>19.3</v>
      </c>
      <c r="Y10" s="6">
        <v>9.4</v>
      </c>
      <c r="Z10" s="6">
        <v>2.54</v>
      </c>
    </row>
    <row r="11" spans="1:26" x14ac:dyDescent="0.25">
      <c r="A11" s="2" t="s">
        <v>135</v>
      </c>
      <c r="B11" s="2">
        <v>2025</v>
      </c>
      <c r="C11" s="2">
        <v>1172015840</v>
      </c>
      <c r="D11" s="2">
        <v>3155866395</v>
      </c>
      <c r="E11" s="8">
        <v>37.14</v>
      </c>
      <c r="F11" s="2">
        <v>48169425</v>
      </c>
      <c r="G11" s="2">
        <v>174318134</v>
      </c>
      <c r="H11" s="8">
        <v>27.63</v>
      </c>
      <c r="I11" s="3">
        <v>2086603674</v>
      </c>
      <c r="J11" s="3">
        <v>6080495439</v>
      </c>
      <c r="K11" s="8">
        <v>34.32</v>
      </c>
      <c r="L11" s="2">
        <v>126</v>
      </c>
      <c r="M11" s="2">
        <v>171</v>
      </c>
      <c r="N11" s="8">
        <v>73.680000000000007</v>
      </c>
      <c r="O11" s="2">
        <v>75</v>
      </c>
      <c r="P11" s="2">
        <v>112</v>
      </c>
      <c r="Q11" s="8">
        <v>66.959999999999994</v>
      </c>
      <c r="R11" s="7">
        <v>-9.8000000000000007</v>
      </c>
      <c r="S11" s="7">
        <v>-10</v>
      </c>
      <c r="T11" s="6">
        <v>0.1</v>
      </c>
      <c r="U11" s="6">
        <v>10</v>
      </c>
      <c r="V11" s="6">
        <v>16.8</v>
      </c>
      <c r="W11" s="7">
        <v>-1.7</v>
      </c>
      <c r="X11" s="7">
        <v>-0.2</v>
      </c>
      <c r="Y11" s="7">
        <v>-11.6</v>
      </c>
      <c r="Z11" s="6">
        <v>3.93</v>
      </c>
    </row>
    <row r="12" spans="1:26" x14ac:dyDescent="0.25">
      <c r="A12" s="4" t="s">
        <v>197</v>
      </c>
      <c r="B12" s="4">
        <v>2023</v>
      </c>
      <c r="C12" s="4">
        <v>1362485080</v>
      </c>
      <c r="D12" s="4">
        <v>3944278010</v>
      </c>
      <c r="E12" s="9">
        <v>34.54</v>
      </c>
      <c r="F12" s="4">
        <v>161077791</v>
      </c>
      <c r="G12" s="4">
        <v>400865404</v>
      </c>
      <c r="H12" s="9">
        <v>40.18</v>
      </c>
      <c r="I12" s="5">
        <v>1851761434</v>
      </c>
      <c r="J12" s="5">
        <v>6608072321</v>
      </c>
      <c r="K12" s="9">
        <v>28.02</v>
      </c>
      <c r="L12" s="4">
        <v>138</v>
      </c>
      <c r="M12" s="4">
        <v>196</v>
      </c>
      <c r="N12" s="9">
        <v>70.41</v>
      </c>
      <c r="O12" s="4">
        <v>92</v>
      </c>
      <c r="P12" s="4">
        <v>143</v>
      </c>
      <c r="Q12" s="9">
        <v>64.34</v>
      </c>
      <c r="R12" s="4"/>
      <c r="S12" s="4"/>
      <c r="T12" s="4"/>
      <c r="U12" s="4"/>
      <c r="V12" s="4"/>
      <c r="W12" s="4"/>
      <c r="X12" s="4"/>
      <c r="Y12" s="4"/>
      <c r="Z12" s="4"/>
    </row>
    <row r="13" spans="1:26" x14ac:dyDescent="0.25">
      <c r="A13" s="2" t="s">
        <v>197</v>
      </c>
      <c r="B13" s="2">
        <v>2024</v>
      </c>
      <c r="C13" s="2">
        <v>1550194028</v>
      </c>
      <c r="D13" s="2">
        <v>4213497001</v>
      </c>
      <c r="E13" s="8">
        <v>36.79</v>
      </c>
      <c r="F13" s="2">
        <v>191829657</v>
      </c>
      <c r="G13" s="2">
        <v>476182155</v>
      </c>
      <c r="H13" s="8">
        <v>40.28</v>
      </c>
      <c r="I13" s="3">
        <v>2191960487</v>
      </c>
      <c r="J13" s="3">
        <v>7219951193</v>
      </c>
      <c r="K13" s="8">
        <v>30.36</v>
      </c>
      <c r="L13" s="2">
        <v>145</v>
      </c>
      <c r="M13" s="2">
        <v>190</v>
      </c>
      <c r="N13" s="8">
        <v>76.319999999999993</v>
      </c>
      <c r="O13" s="2">
        <v>92</v>
      </c>
      <c r="P13" s="2">
        <v>142</v>
      </c>
      <c r="Q13" s="8">
        <v>64.790000000000006</v>
      </c>
      <c r="R13" s="6">
        <v>13.8</v>
      </c>
      <c r="S13" s="6">
        <v>6.8</v>
      </c>
      <c r="T13" s="6">
        <v>2.25</v>
      </c>
      <c r="U13" s="6">
        <v>19.100000000000001</v>
      </c>
      <c r="V13" s="6">
        <v>18.8</v>
      </c>
      <c r="W13" s="6">
        <v>0.1</v>
      </c>
      <c r="X13" s="6">
        <v>18.399999999999999</v>
      </c>
      <c r="Y13" s="6">
        <v>9.3000000000000007</v>
      </c>
      <c r="Z13" s="6">
        <v>2.34</v>
      </c>
    </row>
    <row r="14" spans="1:26" x14ac:dyDescent="0.25">
      <c r="A14" s="4" t="s">
        <v>197</v>
      </c>
      <c r="B14" s="4">
        <v>2025</v>
      </c>
      <c r="C14" s="4">
        <v>1425209293</v>
      </c>
      <c r="D14" s="4">
        <v>3858974555</v>
      </c>
      <c r="E14" s="9">
        <v>36.93</v>
      </c>
      <c r="F14" s="4">
        <v>211116262</v>
      </c>
      <c r="G14" s="4">
        <v>534734626</v>
      </c>
      <c r="H14" s="9">
        <v>39.479999999999997</v>
      </c>
      <c r="I14" s="5">
        <v>2191844373</v>
      </c>
      <c r="J14" s="5">
        <v>6427278301</v>
      </c>
      <c r="K14" s="9">
        <v>34.1</v>
      </c>
      <c r="L14" s="4">
        <v>142</v>
      </c>
      <c r="M14" s="4">
        <v>189</v>
      </c>
      <c r="N14" s="9">
        <v>75.13</v>
      </c>
      <c r="O14" s="4">
        <v>97</v>
      </c>
      <c r="P14" s="4">
        <v>136</v>
      </c>
      <c r="Q14" s="9">
        <v>71.319999999999993</v>
      </c>
      <c r="R14" s="7">
        <v>-8.1</v>
      </c>
      <c r="S14" s="7">
        <v>-8.4</v>
      </c>
      <c r="T14" s="6">
        <v>0.14000000000000001</v>
      </c>
      <c r="U14" s="6">
        <v>10.1</v>
      </c>
      <c r="V14" s="6">
        <v>12.3</v>
      </c>
      <c r="W14" s="7">
        <v>-0.8</v>
      </c>
      <c r="X14" s="9">
        <v>0</v>
      </c>
      <c r="Y14" s="7">
        <v>-11</v>
      </c>
      <c r="Z14" s="6">
        <v>3.74</v>
      </c>
    </row>
    <row r="15" spans="1:26" x14ac:dyDescent="0.25">
      <c r="A15" s="2" t="s">
        <v>136</v>
      </c>
      <c r="B15" s="2">
        <v>2023</v>
      </c>
      <c r="C15" s="2">
        <v>253109987</v>
      </c>
      <c r="D15" s="2">
        <v>680783866</v>
      </c>
      <c r="E15" s="8">
        <v>37.18</v>
      </c>
      <c r="F15" s="2">
        <v>126533979</v>
      </c>
      <c r="G15" s="2">
        <v>263023933</v>
      </c>
      <c r="H15" s="8">
        <v>48.11</v>
      </c>
      <c r="I15" s="3">
        <v>100263501</v>
      </c>
      <c r="J15" s="3">
        <v>319166015</v>
      </c>
      <c r="K15" s="8">
        <v>31.41</v>
      </c>
      <c r="L15" s="2">
        <v>102</v>
      </c>
      <c r="M15" s="2">
        <v>174</v>
      </c>
      <c r="N15" s="8">
        <v>58.62</v>
      </c>
      <c r="O15" s="2">
        <v>22</v>
      </c>
      <c r="P15" s="2">
        <v>27</v>
      </c>
      <c r="Q15" s="8">
        <v>81.48</v>
      </c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5">
      <c r="A16" s="4" t="s">
        <v>136</v>
      </c>
      <c r="B16" s="4">
        <v>2024</v>
      </c>
      <c r="C16" s="4">
        <v>251532828</v>
      </c>
      <c r="D16" s="4">
        <v>707342267</v>
      </c>
      <c r="E16" s="9">
        <v>35.56</v>
      </c>
      <c r="F16" s="4">
        <v>148058804</v>
      </c>
      <c r="G16" s="4">
        <v>326934498</v>
      </c>
      <c r="H16" s="9">
        <v>45.29</v>
      </c>
      <c r="I16" s="5">
        <v>101967542</v>
      </c>
      <c r="J16" s="5">
        <v>342041955</v>
      </c>
      <c r="K16" s="9">
        <v>29.81</v>
      </c>
      <c r="L16" s="4">
        <v>106</v>
      </c>
      <c r="M16" s="4">
        <v>165</v>
      </c>
      <c r="N16" s="9">
        <v>64.239999999999995</v>
      </c>
      <c r="O16" s="4">
        <v>20</v>
      </c>
      <c r="P16" s="4">
        <v>27</v>
      </c>
      <c r="Q16" s="9">
        <v>74.069999999999993</v>
      </c>
      <c r="R16" s="7">
        <v>-0.6</v>
      </c>
      <c r="S16" s="6">
        <v>3.9</v>
      </c>
      <c r="T16" s="7">
        <v>-1.62</v>
      </c>
      <c r="U16" s="6">
        <v>17</v>
      </c>
      <c r="V16" s="6">
        <v>24.3</v>
      </c>
      <c r="W16" s="7">
        <v>-2.82</v>
      </c>
      <c r="X16" s="6">
        <v>1.7</v>
      </c>
      <c r="Y16" s="6">
        <v>7.2</v>
      </c>
      <c r="Z16" s="7">
        <v>-1.6</v>
      </c>
    </row>
    <row r="17" spans="1:26" x14ac:dyDescent="0.25">
      <c r="A17" s="2" t="s">
        <v>136</v>
      </c>
      <c r="B17" s="2">
        <v>2025</v>
      </c>
      <c r="C17" s="2">
        <v>253193453</v>
      </c>
      <c r="D17" s="2">
        <v>703108160</v>
      </c>
      <c r="E17" s="8">
        <v>36.01</v>
      </c>
      <c r="F17" s="2">
        <v>162946837</v>
      </c>
      <c r="G17" s="2">
        <v>360416492</v>
      </c>
      <c r="H17" s="8">
        <v>45.21</v>
      </c>
      <c r="I17" s="3">
        <v>105240699</v>
      </c>
      <c r="J17" s="3">
        <v>346782862</v>
      </c>
      <c r="K17" s="8">
        <v>30.35</v>
      </c>
      <c r="L17" s="2">
        <v>105</v>
      </c>
      <c r="M17" s="2">
        <v>173</v>
      </c>
      <c r="N17" s="8">
        <v>60.69</v>
      </c>
      <c r="O17" s="2">
        <v>22</v>
      </c>
      <c r="P17" s="2">
        <v>24</v>
      </c>
      <c r="Q17" s="8">
        <v>91.67</v>
      </c>
      <c r="R17" s="6">
        <v>0.7</v>
      </c>
      <c r="S17" s="7">
        <v>-0.6</v>
      </c>
      <c r="T17" s="6">
        <v>0.45</v>
      </c>
      <c r="U17" s="6">
        <v>10.1</v>
      </c>
      <c r="V17" s="6">
        <v>10.199999999999999</v>
      </c>
      <c r="W17" s="7">
        <v>-0.08</v>
      </c>
      <c r="X17" s="6">
        <v>3.2</v>
      </c>
      <c r="Y17" s="6">
        <v>1.4</v>
      </c>
      <c r="Z17" s="6">
        <v>0.54</v>
      </c>
    </row>
    <row r="18" spans="1:26" x14ac:dyDescent="0.25">
      <c r="A18" s="4" t="s">
        <v>137</v>
      </c>
      <c r="B18" s="4">
        <v>2023</v>
      </c>
      <c r="C18" s="4">
        <v>349294927</v>
      </c>
      <c r="D18" s="4">
        <v>10359652705</v>
      </c>
      <c r="E18" s="9">
        <v>3.37</v>
      </c>
      <c r="F18" s="4">
        <v>153569155</v>
      </c>
      <c r="G18" s="4">
        <v>1107666956</v>
      </c>
      <c r="H18" s="9">
        <v>13.86</v>
      </c>
      <c r="I18" s="5">
        <v>413577872</v>
      </c>
      <c r="J18" s="5">
        <v>21329307737</v>
      </c>
      <c r="K18" s="9">
        <v>1.94</v>
      </c>
      <c r="L18" s="4">
        <v>100</v>
      </c>
      <c r="M18" s="4">
        <v>173</v>
      </c>
      <c r="N18" s="9">
        <v>57.8</v>
      </c>
      <c r="O18" s="4">
        <v>93</v>
      </c>
      <c r="P18" s="4">
        <v>173</v>
      </c>
      <c r="Q18" s="9">
        <v>53.76</v>
      </c>
      <c r="R18" s="4"/>
      <c r="S18" s="4"/>
      <c r="T18" s="4"/>
      <c r="U18" s="4"/>
      <c r="V18" s="4"/>
      <c r="W18" s="4"/>
      <c r="X18" s="4"/>
      <c r="Y18" s="4"/>
      <c r="Z18" s="4"/>
    </row>
    <row r="19" spans="1:26" x14ac:dyDescent="0.25">
      <c r="A19" s="2" t="s">
        <v>137</v>
      </c>
      <c r="B19" s="2">
        <v>2024</v>
      </c>
      <c r="C19" s="2">
        <v>330873864</v>
      </c>
      <c r="D19" s="2">
        <v>13134201574</v>
      </c>
      <c r="E19" s="8">
        <v>2.52</v>
      </c>
      <c r="F19" s="2">
        <v>187964965</v>
      </c>
      <c r="G19" s="2">
        <v>1190182833</v>
      </c>
      <c r="H19" s="8">
        <v>15.79</v>
      </c>
      <c r="I19" s="3">
        <v>415948184</v>
      </c>
      <c r="J19" s="3">
        <v>22249621051</v>
      </c>
      <c r="K19" s="8">
        <v>1.87</v>
      </c>
      <c r="L19" s="2">
        <v>105</v>
      </c>
      <c r="M19" s="2">
        <v>189</v>
      </c>
      <c r="N19" s="8">
        <v>55.56</v>
      </c>
      <c r="O19" s="2">
        <v>100</v>
      </c>
      <c r="P19" s="2">
        <v>174</v>
      </c>
      <c r="Q19" s="8">
        <v>57.47</v>
      </c>
      <c r="R19" s="7">
        <v>-5.3</v>
      </c>
      <c r="S19" s="6">
        <v>26.8</v>
      </c>
      <c r="T19" s="7">
        <v>-0.85</v>
      </c>
      <c r="U19" s="6">
        <v>22.4</v>
      </c>
      <c r="V19" s="6">
        <v>7.4</v>
      </c>
      <c r="W19" s="6">
        <v>1.93</v>
      </c>
      <c r="X19" s="6">
        <v>0.6</v>
      </c>
      <c r="Y19" s="6">
        <v>4.3</v>
      </c>
      <c r="Z19" s="7">
        <v>-7.0000000000000007E-2</v>
      </c>
    </row>
    <row r="20" spans="1:26" x14ac:dyDescent="0.25">
      <c r="A20" s="4" t="s">
        <v>137</v>
      </c>
      <c r="B20" s="4">
        <v>2025</v>
      </c>
      <c r="C20" s="4">
        <v>371136784</v>
      </c>
      <c r="D20" s="4">
        <v>12659936644</v>
      </c>
      <c r="E20" s="9">
        <v>2.93</v>
      </c>
      <c r="F20" s="4">
        <v>205603882</v>
      </c>
      <c r="G20" s="4">
        <v>1344551403</v>
      </c>
      <c r="H20" s="9">
        <v>15.29</v>
      </c>
      <c r="I20" s="5">
        <v>474123755</v>
      </c>
      <c r="J20" s="5">
        <v>24785168804</v>
      </c>
      <c r="K20" s="9">
        <v>1.91</v>
      </c>
      <c r="L20" s="4">
        <v>105</v>
      </c>
      <c r="M20" s="4">
        <v>178</v>
      </c>
      <c r="N20" s="9">
        <v>58.99</v>
      </c>
      <c r="O20" s="4">
        <v>98</v>
      </c>
      <c r="P20" s="4">
        <v>176</v>
      </c>
      <c r="Q20" s="9">
        <v>55.68</v>
      </c>
      <c r="R20" s="6">
        <v>12.2</v>
      </c>
      <c r="S20" s="7">
        <v>-3.6</v>
      </c>
      <c r="T20" s="6">
        <v>0.41</v>
      </c>
      <c r="U20" s="6">
        <v>9.4</v>
      </c>
      <c r="V20" s="6">
        <v>13</v>
      </c>
      <c r="W20" s="7">
        <v>-0.5</v>
      </c>
      <c r="X20" s="6">
        <v>14</v>
      </c>
      <c r="Y20" s="6">
        <v>11.4</v>
      </c>
      <c r="Z20" s="6">
        <v>0.04</v>
      </c>
    </row>
  </sheetData>
  <mergeCells count="1">
    <mergeCell ref="A1:Z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N68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29.7109375" customWidth="1"/>
    <col min="2" max="2" width="7.7109375" customWidth="1"/>
    <col min="3" max="3" width="16.7109375" customWidth="1"/>
    <col min="4" max="4" width="15.7109375" customWidth="1"/>
    <col min="5" max="5" width="16.7109375" customWidth="1"/>
    <col min="6" max="6" width="15.7109375" customWidth="1"/>
    <col min="7" max="7" width="14.7109375" customWidth="1"/>
    <col min="8" max="8" width="15.7109375" customWidth="1"/>
    <col min="9" max="10" width="23.7109375" customWidth="1"/>
    <col min="11" max="11" width="22.7109375" customWidth="1"/>
    <col min="12" max="13" width="21.7109375" customWidth="1"/>
    <col min="14" max="14" width="14.7109375" customWidth="1"/>
  </cols>
  <sheetData>
    <row r="1" spans="1:14" ht="20.100000000000001" customHeight="1" x14ac:dyDescent="0.25">
      <c r="A1" s="18" t="s">
        <v>209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2" spans="1:14" ht="38.1" customHeight="1" x14ac:dyDescent="0.25">
      <c r="A2" s="1" t="s">
        <v>122</v>
      </c>
      <c r="B2" s="1" t="s">
        <v>0</v>
      </c>
      <c r="C2" s="1" t="s">
        <v>199</v>
      </c>
      <c r="D2" s="1" t="s">
        <v>200</v>
      </c>
      <c r="E2" s="1" t="s">
        <v>201</v>
      </c>
      <c r="F2" s="1" t="s">
        <v>202</v>
      </c>
      <c r="G2" s="1" t="s">
        <v>203</v>
      </c>
      <c r="H2" s="1" t="s">
        <v>204</v>
      </c>
      <c r="I2" s="1" t="s">
        <v>205</v>
      </c>
      <c r="J2" s="1" t="s">
        <v>206</v>
      </c>
      <c r="K2" s="1" t="s">
        <v>207</v>
      </c>
      <c r="L2" s="1" t="s">
        <v>187</v>
      </c>
      <c r="M2" s="1" t="s">
        <v>188</v>
      </c>
      <c r="N2" s="1" t="s">
        <v>208</v>
      </c>
    </row>
    <row r="3" spans="1:14" x14ac:dyDescent="0.25">
      <c r="A3" s="2" t="s">
        <v>135</v>
      </c>
      <c r="B3" s="2">
        <v>2015</v>
      </c>
      <c r="C3" s="3">
        <v>2236895640</v>
      </c>
      <c r="D3" s="3">
        <v>127778864</v>
      </c>
      <c r="E3" s="3">
        <v>4269173758</v>
      </c>
      <c r="F3" s="3">
        <v>592416199</v>
      </c>
      <c r="G3" s="3">
        <v>21452565</v>
      </c>
      <c r="H3" s="3">
        <v>783853595</v>
      </c>
      <c r="I3" s="8">
        <v>26.48</v>
      </c>
      <c r="J3" s="8">
        <v>16.79</v>
      </c>
      <c r="K3" s="8">
        <v>18.36</v>
      </c>
      <c r="L3" s="2"/>
      <c r="M3" s="2"/>
      <c r="N3" s="2"/>
    </row>
    <row r="4" spans="1:14" x14ac:dyDescent="0.25">
      <c r="A4" s="4" t="s">
        <v>135</v>
      </c>
      <c r="B4" s="4">
        <v>2016</v>
      </c>
      <c r="C4" s="5">
        <v>2319249146</v>
      </c>
      <c r="D4" s="5">
        <v>107256933</v>
      </c>
      <c r="E4" s="5">
        <v>5261650044</v>
      </c>
      <c r="F4" s="5">
        <v>641989444</v>
      </c>
      <c r="G4" s="5">
        <v>15239915</v>
      </c>
      <c r="H4" s="5">
        <v>1069297634</v>
      </c>
      <c r="I4" s="9">
        <v>27.68</v>
      </c>
      <c r="J4" s="9">
        <v>14.21</v>
      </c>
      <c r="K4" s="9">
        <v>20.32</v>
      </c>
      <c r="L4" s="6">
        <v>8.4</v>
      </c>
      <c r="M4" s="6">
        <v>3.7</v>
      </c>
      <c r="N4" s="6">
        <v>1.2</v>
      </c>
    </row>
    <row r="5" spans="1:14" x14ac:dyDescent="0.25">
      <c r="A5" s="2" t="s">
        <v>135</v>
      </c>
      <c r="B5" s="2">
        <v>2017</v>
      </c>
      <c r="C5" s="3">
        <v>2727750926</v>
      </c>
      <c r="D5" s="3">
        <v>103909953</v>
      </c>
      <c r="E5" s="3">
        <v>5981578908</v>
      </c>
      <c r="F5" s="3">
        <v>814780637</v>
      </c>
      <c r="G5" s="3">
        <v>17007796</v>
      </c>
      <c r="H5" s="3">
        <v>1415278986</v>
      </c>
      <c r="I5" s="8">
        <v>29.87</v>
      </c>
      <c r="J5" s="8">
        <v>16.37</v>
      </c>
      <c r="K5" s="8">
        <v>23.66</v>
      </c>
      <c r="L5" s="6">
        <v>26.9</v>
      </c>
      <c r="M5" s="6">
        <v>17.600000000000001</v>
      </c>
      <c r="N5" s="6">
        <v>2.19</v>
      </c>
    </row>
    <row r="6" spans="1:14" x14ac:dyDescent="0.25">
      <c r="A6" s="4" t="s">
        <v>135</v>
      </c>
      <c r="B6" s="4">
        <v>2018</v>
      </c>
      <c r="C6" s="5">
        <v>3078218989</v>
      </c>
      <c r="D6" s="5">
        <v>108752339</v>
      </c>
      <c r="E6" s="5">
        <v>6512412080</v>
      </c>
      <c r="F6" s="5">
        <v>930876705</v>
      </c>
      <c r="G6" s="5">
        <v>20250149</v>
      </c>
      <c r="H6" s="5">
        <v>1571045410</v>
      </c>
      <c r="I6" s="9">
        <v>30.24</v>
      </c>
      <c r="J6" s="9">
        <v>18.62</v>
      </c>
      <c r="K6" s="9">
        <v>24.12</v>
      </c>
      <c r="L6" s="6">
        <v>14.2</v>
      </c>
      <c r="M6" s="6">
        <v>12.8</v>
      </c>
      <c r="N6" s="6">
        <v>0.37</v>
      </c>
    </row>
    <row r="7" spans="1:14" x14ac:dyDescent="0.25">
      <c r="A7" s="2" t="s">
        <v>135</v>
      </c>
      <c r="B7" s="2">
        <v>2019</v>
      </c>
      <c r="C7" s="3">
        <v>2808923675</v>
      </c>
      <c r="D7" s="3">
        <v>115189203</v>
      </c>
      <c r="E7" s="3">
        <v>6216959450</v>
      </c>
      <c r="F7" s="3">
        <v>858824307</v>
      </c>
      <c r="G7" s="3">
        <v>24757798</v>
      </c>
      <c r="H7" s="3">
        <v>1588711063</v>
      </c>
      <c r="I7" s="8">
        <v>30.57</v>
      </c>
      <c r="J7" s="8">
        <v>21.49</v>
      </c>
      <c r="K7" s="8">
        <v>25.55</v>
      </c>
      <c r="L7" s="7">
        <v>-7.7</v>
      </c>
      <c r="M7" s="7">
        <v>-8.6999999999999993</v>
      </c>
      <c r="N7" s="6">
        <v>0.33</v>
      </c>
    </row>
    <row r="8" spans="1:14" x14ac:dyDescent="0.25">
      <c r="A8" s="4" t="s">
        <v>135</v>
      </c>
      <c r="B8" s="4">
        <v>2020</v>
      </c>
      <c r="C8" s="5">
        <v>3015629539</v>
      </c>
      <c r="D8" s="5">
        <v>112878612</v>
      </c>
      <c r="E8" s="5">
        <v>7010951380</v>
      </c>
      <c r="F8" s="5">
        <v>988363735</v>
      </c>
      <c r="G8" s="5">
        <v>19541431</v>
      </c>
      <c r="H8" s="5">
        <v>1881689029</v>
      </c>
      <c r="I8" s="9">
        <v>32.770000000000003</v>
      </c>
      <c r="J8" s="9">
        <v>17.309999999999999</v>
      </c>
      <c r="K8" s="9">
        <v>26.84</v>
      </c>
      <c r="L8" s="6">
        <v>15.1</v>
      </c>
      <c r="M8" s="6">
        <v>7.4</v>
      </c>
      <c r="N8" s="6">
        <v>2.2000000000000002</v>
      </c>
    </row>
    <row r="9" spans="1:14" x14ac:dyDescent="0.25">
      <c r="A9" s="2" t="s">
        <v>135</v>
      </c>
      <c r="B9" s="2">
        <v>2021</v>
      </c>
      <c r="C9" s="3">
        <v>4265996045</v>
      </c>
      <c r="D9" s="3">
        <v>136170412</v>
      </c>
      <c r="E9" s="3">
        <v>7319504817</v>
      </c>
      <c r="F9" s="3">
        <v>1446131975</v>
      </c>
      <c r="G9" s="3">
        <v>31827051</v>
      </c>
      <c r="H9" s="3">
        <v>1908313632</v>
      </c>
      <c r="I9" s="8">
        <v>33.9</v>
      </c>
      <c r="J9" s="8">
        <v>23.37</v>
      </c>
      <c r="K9" s="8">
        <v>26.07</v>
      </c>
      <c r="L9" s="6">
        <v>46.3</v>
      </c>
      <c r="M9" s="6">
        <v>41.5</v>
      </c>
      <c r="N9" s="6">
        <v>1.1299999999999999</v>
      </c>
    </row>
    <row r="10" spans="1:14" x14ac:dyDescent="0.25">
      <c r="A10" s="4" t="s">
        <v>135</v>
      </c>
      <c r="B10" s="4">
        <v>2022</v>
      </c>
      <c r="C10" s="5">
        <v>4529787336</v>
      </c>
      <c r="D10" s="5">
        <v>126896161</v>
      </c>
      <c r="E10" s="5">
        <v>7435974657</v>
      </c>
      <c r="F10" s="5">
        <v>1440624777</v>
      </c>
      <c r="G10" s="5">
        <v>33187312</v>
      </c>
      <c r="H10" s="5">
        <v>1839694394</v>
      </c>
      <c r="I10" s="9">
        <v>31.8</v>
      </c>
      <c r="J10" s="9">
        <v>26.15</v>
      </c>
      <c r="K10" s="9">
        <v>24.74</v>
      </c>
      <c r="L10" s="7">
        <v>-0.4</v>
      </c>
      <c r="M10" s="6">
        <v>6.2</v>
      </c>
      <c r="N10" s="7">
        <v>-2.1</v>
      </c>
    </row>
    <row r="11" spans="1:14" x14ac:dyDescent="0.25">
      <c r="A11" s="2" t="s">
        <v>135</v>
      </c>
      <c r="B11" s="2">
        <v>2023</v>
      </c>
      <c r="C11" s="3">
        <v>3263494144</v>
      </c>
      <c r="D11" s="3">
        <v>137841471</v>
      </c>
      <c r="E11" s="3">
        <v>6288906306</v>
      </c>
      <c r="F11" s="3">
        <v>1109375093</v>
      </c>
      <c r="G11" s="3">
        <v>34543812</v>
      </c>
      <c r="H11" s="3">
        <v>1751497933</v>
      </c>
      <c r="I11" s="8">
        <v>33.99</v>
      </c>
      <c r="J11" s="8">
        <v>25.06</v>
      </c>
      <c r="K11" s="8">
        <v>27.85</v>
      </c>
      <c r="L11" s="7">
        <v>-23</v>
      </c>
      <c r="M11" s="7">
        <v>-28</v>
      </c>
      <c r="N11" s="6">
        <v>2.19</v>
      </c>
    </row>
    <row r="12" spans="1:14" x14ac:dyDescent="0.25">
      <c r="A12" s="4" t="s">
        <v>135</v>
      </c>
      <c r="B12" s="4">
        <v>2024</v>
      </c>
      <c r="C12" s="5">
        <v>3506154734</v>
      </c>
      <c r="D12" s="5">
        <v>149247657</v>
      </c>
      <c r="E12" s="5">
        <v>6877909238</v>
      </c>
      <c r="F12" s="5">
        <v>1298661200</v>
      </c>
      <c r="G12" s="5">
        <v>43770853</v>
      </c>
      <c r="H12" s="5">
        <v>2089992945</v>
      </c>
      <c r="I12" s="9">
        <v>37.04</v>
      </c>
      <c r="J12" s="9">
        <v>29.33</v>
      </c>
      <c r="K12" s="9">
        <v>30.39</v>
      </c>
      <c r="L12" s="6">
        <v>17.100000000000001</v>
      </c>
      <c r="M12" s="6">
        <v>7.4</v>
      </c>
      <c r="N12" s="6">
        <v>3.05</v>
      </c>
    </row>
    <row r="13" spans="1:14" x14ac:dyDescent="0.25">
      <c r="A13" s="2" t="s">
        <v>135</v>
      </c>
      <c r="B13" s="2">
        <v>2025</v>
      </c>
      <c r="C13" s="3">
        <v>3155866395</v>
      </c>
      <c r="D13" s="3">
        <v>174318134</v>
      </c>
      <c r="E13" s="3">
        <v>6080495439</v>
      </c>
      <c r="F13" s="3">
        <v>1172015840</v>
      </c>
      <c r="G13" s="3">
        <v>48169425</v>
      </c>
      <c r="H13" s="3">
        <v>2086603674</v>
      </c>
      <c r="I13" s="8">
        <v>37.14</v>
      </c>
      <c r="J13" s="8">
        <v>27.63</v>
      </c>
      <c r="K13" s="8">
        <v>34.32</v>
      </c>
      <c r="L13" s="7">
        <v>-9.8000000000000007</v>
      </c>
      <c r="M13" s="7">
        <v>-10</v>
      </c>
      <c r="N13" s="6">
        <v>0.1</v>
      </c>
    </row>
    <row r="14" spans="1:14" x14ac:dyDescent="0.25">
      <c r="A14" s="4" t="s">
        <v>136</v>
      </c>
      <c r="B14" s="4">
        <v>2015</v>
      </c>
      <c r="C14" s="5">
        <v>485649070</v>
      </c>
      <c r="D14" s="5">
        <v>201094449</v>
      </c>
      <c r="E14" s="5">
        <v>258999896</v>
      </c>
      <c r="F14" s="5">
        <v>202577159</v>
      </c>
      <c r="G14" s="5">
        <v>45398603</v>
      </c>
      <c r="H14" s="5">
        <v>88062105</v>
      </c>
      <c r="I14" s="9">
        <v>41.71</v>
      </c>
      <c r="J14" s="9">
        <v>22.58</v>
      </c>
      <c r="K14" s="9">
        <v>34</v>
      </c>
      <c r="L14" s="4"/>
      <c r="M14" s="4"/>
      <c r="N14" s="4"/>
    </row>
    <row r="15" spans="1:14" x14ac:dyDescent="0.25">
      <c r="A15" s="2" t="s">
        <v>136</v>
      </c>
      <c r="B15" s="2">
        <v>2016</v>
      </c>
      <c r="C15" s="3">
        <v>486727009</v>
      </c>
      <c r="D15" s="3">
        <v>150105933</v>
      </c>
      <c r="E15" s="3">
        <v>285649297</v>
      </c>
      <c r="F15" s="3">
        <v>204659789</v>
      </c>
      <c r="G15" s="3">
        <v>33447988</v>
      </c>
      <c r="H15" s="3">
        <v>93585533</v>
      </c>
      <c r="I15" s="8">
        <v>42.05</v>
      </c>
      <c r="J15" s="8">
        <v>22.28</v>
      </c>
      <c r="K15" s="8">
        <v>32.76</v>
      </c>
      <c r="L15" s="6">
        <v>1</v>
      </c>
      <c r="M15" s="6">
        <v>0.2</v>
      </c>
      <c r="N15" s="6">
        <v>0.34</v>
      </c>
    </row>
    <row r="16" spans="1:14" x14ac:dyDescent="0.25">
      <c r="A16" s="4" t="s">
        <v>136</v>
      </c>
      <c r="B16" s="4">
        <v>2017</v>
      </c>
      <c r="C16" s="5">
        <v>539457527</v>
      </c>
      <c r="D16" s="5">
        <v>164832609</v>
      </c>
      <c r="E16" s="5">
        <v>304033475</v>
      </c>
      <c r="F16" s="5">
        <v>232225198</v>
      </c>
      <c r="G16" s="5">
        <v>41918784</v>
      </c>
      <c r="H16" s="5">
        <v>105291950</v>
      </c>
      <c r="I16" s="9">
        <v>43.05</v>
      </c>
      <c r="J16" s="9">
        <v>25.43</v>
      </c>
      <c r="K16" s="9">
        <v>34.630000000000003</v>
      </c>
      <c r="L16" s="6">
        <v>13.5</v>
      </c>
      <c r="M16" s="6">
        <v>10.8</v>
      </c>
      <c r="N16" s="6">
        <v>1</v>
      </c>
    </row>
    <row r="17" spans="1:14" x14ac:dyDescent="0.25">
      <c r="A17" s="2" t="s">
        <v>136</v>
      </c>
      <c r="B17" s="2">
        <v>2018</v>
      </c>
      <c r="C17" s="3">
        <v>606880629</v>
      </c>
      <c r="D17" s="3">
        <v>197687780</v>
      </c>
      <c r="E17" s="3">
        <v>314923082</v>
      </c>
      <c r="F17" s="3">
        <v>276176712</v>
      </c>
      <c r="G17" s="3">
        <v>52764297</v>
      </c>
      <c r="H17" s="3">
        <v>109976727</v>
      </c>
      <c r="I17" s="8">
        <v>45.51</v>
      </c>
      <c r="J17" s="8">
        <v>26.69</v>
      </c>
      <c r="K17" s="8">
        <v>34.92</v>
      </c>
      <c r="L17" s="6">
        <v>18.899999999999999</v>
      </c>
      <c r="M17" s="6">
        <v>12.5</v>
      </c>
      <c r="N17" s="6">
        <v>2.46</v>
      </c>
    </row>
    <row r="18" spans="1:14" x14ac:dyDescent="0.25">
      <c r="A18" s="4" t="s">
        <v>136</v>
      </c>
      <c r="B18" s="4">
        <v>2019</v>
      </c>
      <c r="C18" s="5">
        <v>606714925</v>
      </c>
      <c r="D18" s="5">
        <v>169763507</v>
      </c>
      <c r="E18" s="5">
        <v>329131585</v>
      </c>
      <c r="F18" s="5">
        <v>275142463</v>
      </c>
      <c r="G18" s="5">
        <v>52162577</v>
      </c>
      <c r="H18" s="5">
        <v>125609875</v>
      </c>
      <c r="I18" s="9">
        <v>45.35</v>
      </c>
      <c r="J18" s="9">
        <v>30.73</v>
      </c>
      <c r="K18" s="9">
        <v>38.159999999999997</v>
      </c>
      <c r="L18" s="7">
        <v>-0.4</v>
      </c>
      <c r="M18" s="9">
        <v>0</v>
      </c>
      <c r="N18" s="7">
        <v>-0.16</v>
      </c>
    </row>
    <row r="19" spans="1:14" x14ac:dyDescent="0.25">
      <c r="A19" s="2" t="s">
        <v>136</v>
      </c>
      <c r="B19" s="2">
        <v>2020</v>
      </c>
      <c r="C19" s="3">
        <v>598545367</v>
      </c>
      <c r="D19" s="3">
        <v>145975961</v>
      </c>
      <c r="E19" s="3">
        <v>346972488</v>
      </c>
      <c r="F19" s="3">
        <v>272336690</v>
      </c>
      <c r="G19" s="3">
        <v>54717693</v>
      </c>
      <c r="H19" s="3">
        <v>125915246</v>
      </c>
      <c r="I19" s="8">
        <v>45.5</v>
      </c>
      <c r="J19" s="8">
        <v>37.479999999999997</v>
      </c>
      <c r="K19" s="8">
        <v>36.29</v>
      </c>
      <c r="L19" s="7">
        <v>-1</v>
      </c>
      <c r="M19" s="7">
        <v>-1.3</v>
      </c>
      <c r="N19" s="6">
        <v>0.15</v>
      </c>
    </row>
    <row r="20" spans="1:14" x14ac:dyDescent="0.25">
      <c r="A20" s="4" t="s">
        <v>136</v>
      </c>
      <c r="B20" s="4">
        <v>2021</v>
      </c>
      <c r="C20" s="5">
        <v>885307930</v>
      </c>
      <c r="D20" s="5">
        <v>170027210</v>
      </c>
      <c r="E20" s="5">
        <v>495007173</v>
      </c>
      <c r="F20" s="5">
        <v>365168237</v>
      </c>
      <c r="G20" s="5">
        <v>76546815</v>
      </c>
      <c r="H20" s="5">
        <v>157663317</v>
      </c>
      <c r="I20" s="9">
        <v>41.25</v>
      </c>
      <c r="J20" s="9">
        <v>45.02</v>
      </c>
      <c r="K20" s="9">
        <v>31.85</v>
      </c>
      <c r="L20" s="6">
        <v>34.1</v>
      </c>
      <c r="M20" s="6">
        <v>47.9</v>
      </c>
      <c r="N20" s="7">
        <v>-4.25</v>
      </c>
    </row>
    <row r="21" spans="1:14" x14ac:dyDescent="0.25">
      <c r="A21" s="2" t="s">
        <v>136</v>
      </c>
      <c r="B21" s="2">
        <v>2022</v>
      </c>
      <c r="C21" s="3">
        <v>769130863</v>
      </c>
      <c r="D21" s="3">
        <v>191399860</v>
      </c>
      <c r="E21" s="3">
        <v>351718545</v>
      </c>
      <c r="F21" s="3">
        <v>338558899</v>
      </c>
      <c r="G21" s="3">
        <v>86749930</v>
      </c>
      <c r="H21" s="3">
        <v>125885122</v>
      </c>
      <c r="I21" s="8">
        <v>44.02</v>
      </c>
      <c r="J21" s="8">
        <v>45.32</v>
      </c>
      <c r="K21" s="8">
        <v>35.79</v>
      </c>
      <c r="L21" s="7">
        <v>-7.3</v>
      </c>
      <c r="M21" s="7">
        <v>-13.1</v>
      </c>
      <c r="N21" s="6">
        <v>2.77</v>
      </c>
    </row>
    <row r="22" spans="1:14" x14ac:dyDescent="0.25">
      <c r="A22" s="4" t="s">
        <v>136</v>
      </c>
      <c r="B22" s="4">
        <v>2023</v>
      </c>
      <c r="C22" s="5">
        <v>680783866</v>
      </c>
      <c r="D22" s="5">
        <v>263023933</v>
      </c>
      <c r="E22" s="5">
        <v>319166015</v>
      </c>
      <c r="F22" s="5">
        <v>253109987</v>
      </c>
      <c r="G22" s="5">
        <v>126533979</v>
      </c>
      <c r="H22" s="5">
        <v>100263501</v>
      </c>
      <c r="I22" s="9">
        <v>37.18</v>
      </c>
      <c r="J22" s="9">
        <v>48.11</v>
      </c>
      <c r="K22" s="9">
        <v>31.41</v>
      </c>
      <c r="L22" s="7">
        <v>-25.2</v>
      </c>
      <c r="M22" s="7">
        <v>-11.5</v>
      </c>
      <c r="N22" s="7">
        <v>-6.84</v>
      </c>
    </row>
    <row r="23" spans="1:14" x14ac:dyDescent="0.25">
      <c r="A23" s="2" t="s">
        <v>136</v>
      </c>
      <c r="B23" s="2">
        <v>2024</v>
      </c>
      <c r="C23" s="3">
        <v>707342267</v>
      </c>
      <c r="D23" s="3">
        <v>326934498</v>
      </c>
      <c r="E23" s="3">
        <v>342041955</v>
      </c>
      <c r="F23" s="3">
        <v>251532828</v>
      </c>
      <c r="G23" s="3">
        <v>148058804</v>
      </c>
      <c r="H23" s="3">
        <v>101967542</v>
      </c>
      <c r="I23" s="8">
        <v>35.56</v>
      </c>
      <c r="J23" s="8">
        <v>45.29</v>
      </c>
      <c r="K23" s="8">
        <v>29.81</v>
      </c>
      <c r="L23" s="7">
        <v>-0.6</v>
      </c>
      <c r="M23" s="6">
        <v>3.9</v>
      </c>
      <c r="N23" s="7">
        <v>-1.62</v>
      </c>
    </row>
    <row r="24" spans="1:14" x14ac:dyDescent="0.25">
      <c r="A24" s="4" t="s">
        <v>136</v>
      </c>
      <c r="B24" s="4">
        <v>2025</v>
      </c>
      <c r="C24" s="5">
        <v>703108160</v>
      </c>
      <c r="D24" s="5">
        <v>360416492</v>
      </c>
      <c r="E24" s="5">
        <v>346782862</v>
      </c>
      <c r="F24" s="5">
        <v>253193453</v>
      </c>
      <c r="G24" s="5">
        <v>162946837</v>
      </c>
      <c r="H24" s="5">
        <v>105240699</v>
      </c>
      <c r="I24" s="9">
        <v>36.01</v>
      </c>
      <c r="J24" s="9">
        <v>45.21</v>
      </c>
      <c r="K24" s="9">
        <v>30.35</v>
      </c>
      <c r="L24" s="6">
        <v>0.7</v>
      </c>
      <c r="M24" s="7">
        <v>-0.6</v>
      </c>
      <c r="N24" s="6">
        <v>0.45</v>
      </c>
    </row>
    <row r="25" spans="1:14" x14ac:dyDescent="0.25">
      <c r="A25" s="2" t="s">
        <v>197</v>
      </c>
      <c r="B25" s="2">
        <v>2015</v>
      </c>
      <c r="C25" s="3">
        <v>2722544710</v>
      </c>
      <c r="D25" s="3">
        <v>328873313</v>
      </c>
      <c r="E25" s="3">
        <v>4528173654</v>
      </c>
      <c r="F25" s="3">
        <v>794993358</v>
      </c>
      <c r="G25" s="3">
        <v>66851168</v>
      </c>
      <c r="H25" s="3">
        <v>871915700</v>
      </c>
      <c r="I25" s="8">
        <v>29.2</v>
      </c>
      <c r="J25" s="8">
        <v>20.329999999999998</v>
      </c>
      <c r="K25" s="8">
        <v>19.260000000000002</v>
      </c>
      <c r="L25" s="2"/>
      <c r="M25" s="2"/>
      <c r="N25" s="2"/>
    </row>
    <row r="26" spans="1:14" x14ac:dyDescent="0.25">
      <c r="A26" s="4" t="s">
        <v>197</v>
      </c>
      <c r="B26" s="4">
        <v>2016</v>
      </c>
      <c r="C26" s="5">
        <v>2805976155</v>
      </c>
      <c r="D26" s="5">
        <v>257362866</v>
      </c>
      <c r="E26" s="5">
        <v>5547299341</v>
      </c>
      <c r="F26" s="5">
        <v>846649233</v>
      </c>
      <c r="G26" s="5">
        <v>48687903</v>
      </c>
      <c r="H26" s="5">
        <v>1162883167</v>
      </c>
      <c r="I26" s="9">
        <v>30.17</v>
      </c>
      <c r="J26" s="9">
        <v>18.920000000000002</v>
      </c>
      <c r="K26" s="9">
        <v>20.96</v>
      </c>
      <c r="L26" s="6">
        <v>6.5</v>
      </c>
      <c r="M26" s="6">
        <v>3.1</v>
      </c>
      <c r="N26" s="6">
        <v>0.97</v>
      </c>
    </row>
    <row r="27" spans="1:14" x14ac:dyDescent="0.25">
      <c r="A27" s="2" t="s">
        <v>197</v>
      </c>
      <c r="B27" s="2">
        <v>2017</v>
      </c>
      <c r="C27" s="3">
        <v>3267208453</v>
      </c>
      <c r="D27" s="3">
        <v>268742562</v>
      </c>
      <c r="E27" s="3">
        <v>6285612383</v>
      </c>
      <c r="F27" s="3">
        <v>1047005835</v>
      </c>
      <c r="G27" s="3">
        <v>58926580</v>
      </c>
      <c r="H27" s="3">
        <v>1520570936</v>
      </c>
      <c r="I27" s="8">
        <v>32.049999999999997</v>
      </c>
      <c r="J27" s="8">
        <v>21.93</v>
      </c>
      <c r="K27" s="8">
        <v>24.19</v>
      </c>
      <c r="L27" s="6">
        <v>23.7</v>
      </c>
      <c r="M27" s="6">
        <v>16.399999999999999</v>
      </c>
      <c r="N27" s="6">
        <v>1.88</v>
      </c>
    </row>
    <row r="28" spans="1:14" x14ac:dyDescent="0.25">
      <c r="A28" s="4" t="s">
        <v>197</v>
      </c>
      <c r="B28" s="4">
        <v>2018</v>
      </c>
      <c r="C28" s="5">
        <v>3685099618</v>
      </c>
      <c r="D28" s="5">
        <v>306440119</v>
      </c>
      <c r="E28" s="5">
        <v>6827335162</v>
      </c>
      <c r="F28" s="5">
        <v>1207053417</v>
      </c>
      <c r="G28" s="5">
        <v>73014446</v>
      </c>
      <c r="H28" s="5">
        <v>1681022137</v>
      </c>
      <c r="I28" s="9">
        <v>32.75</v>
      </c>
      <c r="J28" s="9">
        <v>23.83</v>
      </c>
      <c r="K28" s="9">
        <v>24.62</v>
      </c>
      <c r="L28" s="6">
        <v>15.3</v>
      </c>
      <c r="M28" s="6">
        <v>12.8</v>
      </c>
      <c r="N28" s="6">
        <v>0.7</v>
      </c>
    </row>
    <row r="29" spans="1:14" x14ac:dyDescent="0.25">
      <c r="A29" s="2" t="s">
        <v>197</v>
      </c>
      <c r="B29" s="2">
        <v>2019</v>
      </c>
      <c r="C29" s="3">
        <v>3415638600</v>
      </c>
      <c r="D29" s="3">
        <v>284952710</v>
      </c>
      <c r="E29" s="3">
        <v>6546091035</v>
      </c>
      <c r="F29" s="3">
        <v>1133966770</v>
      </c>
      <c r="G29" s="3">
        <v>76920375</v>
      </c>
      <c r="H29" s="3">
        <v>1714320938</v>
      </c>
      <c r="I29" s="8">
        <v>33.200000000000003</v>
      </c>
      <c r="J29" s="8">
        <v>26.99</v>
      </c>
      <c r="K29" s="8">
        <v>26.19</v>
      </c>
      <c r="L29" s="7">
        <v>-6.1</v>
      </c>
      <c r="M29" s="7">
        <v>-7.3</v>
      </c>
      <c r="N29" s="6">
        <v>0.45</v>
      </c>
    </row>
    <row r="30" spans="1:14" x14ac:dyDescent="0.25">
      <c r="A30" s="4" t="s">
        <v>197</v>
      </c>
      <c r="B30" s="4">
        <v>2020</v>
      </c>
      <c r="C30" s="5">
        <v>3614174906</v>
      </c>
      <c r="D30" s="5">
        <v>258854573</v>
      </c>
      <c r="E30" s="5">
        <v>7357923868</v>
      </c>
      <c r="F30" s="5">
        <v>1260700425</v>
      </c>
      <c r="G30" s="5">
        <v>74259124</v>
      </c>
      <c r="H30" s="5">
        <v>2007604275</v>
      </c>
      <c r="I30" s="9">
        <v>34.880000000000003</v>
      </c>
      <c r="J30" s="9">
        <v>28.69</v>
      </c>
      <c r="K30" s="9">
        <v>27.28</v>
      </c>
      <c r="L30" s="6">
        <v>11.2</v>
      </c>
      <c r="M30" s="6">
        <v>5.8</v>
      </c>
      <c r="N30" s="6">
        <v>1.68</v>
      </c>
    </row>
    <row r="31" spans="1:14" x14ac:dyDescent="0.25">
      <c r="A31" s="2" t="s">
        <v>197</v>
      </c>
      <c r="B31" s="2">
        <v>2021</v>
      </c>
      <c r="C31" s="3">
        <v>5151303975</v>
      </c>
      <c r="D31" s="3">
        <v>306197622</v>
      </c>
      <c r="E31" s="3">
        <v>7814511990</v>
      </c>
      <c r="F31" s="3">
        <v>1811300212</v>
      </c>
      <c r="G31" s="3">
        <v>108373866</v>
      </c>
      <c r="H31" s="3">
        <v>2065976949</v>
      </c>
      <c r="I31" s="8">
        <v>35.159999999999997</v>
      </c>
      <c r="J31" s="8">
        <v>35.39</v>
      </c>
      <c r="K31" s="8">
        <v>26.44</v>
      </c>
      <c r="L31" s="6">
        <v>43.7</v>
      </c>
      <c r="M31" s="6">
        <v>42.5</v>
      </c>
      <c r="N31" s="6">
        <v>0.28000000000000003</v>
      </c>
    </row>
    <row r="32" spans="1:14" x14ac:dyDescent="0.25">
      <c r="A32" s="4" t="s">
        <v>197</v>
      </c>
      <c r="B32" s="4">
        <v>2022</v>
      </c>
      <c r="C32" s="5">
        <v>5298918199</v>
      </c>
      <c r="D32" s="5">
        <v>318296021</v>
      </c>
      <c r="E32" s="5">
        <v>7787693202</v>
      </c>
      <c r="F32" s="5">
        <v>1779183676</v>
      </c>
      <c r="G32" s="5">
        <v>119937242</v>
      </c>
      <c r="H32" s="5">
        <v>1965579516</v>
      </c>
      <c r="I32" s="9">
        <v>33.58</v>
      </c>
      <c r="J32" s="9">
        <v>37.68</v>
      </c>
      <c r="K32" s="9">
        <v>25.24</v>
      </c>
      <c r="L32" s="7">
        <v>-1.8</v>
      </c>
      <c r="M32" s="6">
        <v>2.9</v>
      </c>
      <c r="N32" s="7">
        <v>-1.58</v>
      </c>
    </row>
    <row r="33" spans="1:14" x14ac:dyDescent="0.25">
      <c r="A33" s="2" t="s">
        <v>197</v>
      </c>
      <c r="B33" s="2">
        <v>2023</v>
      </c>
      <c r="C33" s="3">
        <v>3944278010</v>
      </c>
      <c r="D33" s="3">
        <v>400865404</v>
      </c>
      <c r="E33" s="3">
        <v>6608072321</v>
      </c>
      <c r="F33" s="3">
        <v>1362485080</v>
      </c>
      <c r="G33" s="3">
        <v>161077791</v>
      </c>
      <c r="H33" s="3">
        <v>1851761434</v>
      </c>
      <c r="I33" s="8">
        <v>34.54</v>
      </c>
      <c r="J33" s="8">
        <v>40.18</v>
      </c>
      <c r="K33" s="8">
        <v>28.02</v>
      </c>
      <c r="L33" s="7">
        <v>-23.4</v>
      </c>
      <c r="M33" s="7">
        <v>-25.6</v>
      </c>
      <c r="N33" s="6">
        <v>0.96</v>
      </c>
    </row>
    <row r="34" spans="1:14" x14ac:dyDescent="0.25">
      <c r="A34" s="4" t="s">
        <v>197</v>
      </c>
      <c r="B34" s="4">
        <v>2024</v>
      </c>
      <c r="C34" s="5">
        <v>4213497001</v>
      </c>
      <c r="D34" s="5">
        <v>476182155</v>
      </c>
      <c r="E34" s="5">
        <v>7219951193</v>
      </c>
      <c r="F34" s="5">
        <v>1550194028</v>
      </c>
      <c r="G34" s="5">
        <v>191829657</v>
      </c>
      <c r="H34" s="5">
        <v>2191960487</v>
      </c>
      <c r="I34" s="9">
        <v>36.79</v>
      </c>
      <c r="J34" s="9">
        <v>40.28</v>
      </c>
      <c r="K34" s="9">
        <v>30.36</v>
      </c>
      <c r="L34" s="6">
        <v>13.8</v>
      </c>
      <c r="M34" s="6">
        <v>6.8</v>
      </c>
      <c r="N34" s="6">
        <v>2.25</v>
      </c>
    </row>
    <row r="35" spans="1:14" x14ac:dyDescent="0.25">
      <c r="A35" s="2" t="s">
        <v>197</v>
      </c>
      <c r="B35" s="2">
        <v>2025</v>
      </c>
      <c r="C35" s="3">
        <v>3858974555</v>
      </c>
      <c r="D35" s="3">
        <v>534734626</v>
      </c>
      <c r="E35" s="3">
        <v>6427278301</v>
      </c>
      <c r="F35" s="3">
        <v>1425209293</v>
      </c>
      <c r="G35" s="3">
        <v>211116262</v>
      </c>
      <c r="H35" s="3">
        <v>2191844373</v>
      </c>
      <c r="I35" s="8">
        <v>36.93</v>
      </c>
      <c r="J35" s="8">
        <v>39.479999999999997</v>
      </c>
      <c r="K35" s="8">
        <v>34.1</v>
      </c>
      <c r="L35" s="7">
        <v>-8.1</v>
      </c>
      <c r="M35" s="7">
        <v>-8.4</v>
      </c>
      <c r="N35" s="6">
        <v>0.14000000000000001</v>
      </c>
    </row>
    <row r="36" spans="1:14" x14ac:dyDescent="0.25">
      <c r="A36" s="4" t="s">
        <v>137</v>
      </c>
      <c r="B36" s="4">
        <v>2015</v>
      </c>
      <c r="C36" s="5">
        <v>7712667936</v>
      </c>
      <c r="D36" s="5">
        <v>1349963563</v>
      </c>
      <c r="E36" s="5">
        <v>14116322942</v>
      </c>
      <c r="F36" s="5">
        <v>250833412</v>
      </c>
      <c r="G36" s="5">
        <v>89545731</v>
      </c>
      <c r="H36" s="5">
        <v>343696273</v>
      </c>
      <c r="I36" s="9">
        <v>3.25</v>
      </c>
      <c r="J36" s="9">
        <v>6.63</v>
      </c>
      <c r="K36" s="9">
        <v>2.4300000000000002</v>
      </c>
      <c r="L36" s="4"/>
      <c r="M36" s="4"/>
      <c r="N36" s="4"/>
    </row>
    <row r="37" spans="1:14" x14ac:dyDescent="0.25">
      <c r="A37" s="2" t="s">
        <v>137</v>
      </c>
      <c r="B37" s="2">
        <v>2016</v>
      </c>
      <c r="C37" s="3">
        <v>7500967088</v>
      </c>
      <c r="D37" s="3">
        <v>1048800329</v>
      </c>
      <c r="E37" s="3">
        <v>15662748394</v>
      </c>
      <c r="F37" s="3">
        <v>245291378</v>
      </c>
      <c r="G37" s="3">
        <v>68906571</v>
      </c>
      <c r="H37" s="3">
        <v>368467655</v>
      </c>
      <c r="I37" s="8">
        <v>3.27</v>
      </c>
      <c r="J37" s="8">
        <v>6.57</v>
      </c>
      <c r="K37" s="8">
        <v>2.35</v>
      </c>
      <c r="L37" s="7">
        <v>-2.2000000000000002</v>
      </c>
      <c r="M37" s="7">
        <v>-2.7</v>
      </c>
      <c r="N37" s="6">
        <v>0.02</v>
      </c>
    </row>
    <row r="38" spans="1:14" x14ac:dyDescent="0.25">
      <c r="A38" s="4" t="s">
        <v>137</v>
      </c>
      <c r="B38" s="4">
        <v>2017</v>
      </c>
      <c r="C38" s="5">
        <v>8313420002</v>
      </c>
      <c r="D38" s="5">
        <v>1053025952</v>
      </c>
      <c r="E38" s="5">
        <v>16018748092</v>
      </c>
      <c r="F38" s="5">
        <v>244140867</v>
      </c>
      <c r="G38" s="5">
        <v>86142475</v>
      </c>
      <c r="H38" s="5">
        <v>345722791</v>
      </c>
      <c r="I38" s="9">
        <v>2.94</v>
      </c>
      <c r="J38" s="9">
        <v>8.18</v>
      </c>
      <c r="K38" s="9">
        <v>2.16</v>
      </c>
      <c r="L38" s="7">
        <v>-0.5</v>
      </c>
      <c r="M38" s="6">
        <v>10.8</v>
      </c>
      <c r="N38" s="7">
        <v>-0.33</v>
      </c>
    </row>
    <row r="39" spans="1:14" x14ac:dyDescent="0.25">
      <c r="A39" s="2" t="s">
        <v>137</v>
      </c>
      <c r="B39" s="2">
        <v>2018</v>
      </c>
      <c r="C39" s="3">
        <v>10323245585</v>
      </c>
      <c r="D39" s="3">
        <v>1090993970</v>
      </c>
      <c r="E39" s="3">
        <v>17261113524</v>
      </c>
      <c r="F39" s="3">
        <v>274288854</v>
      </c>
      <c r="G39" s="3">
        <v>108029497</v>
      </c>
      <c r="H39" s="3">
        <v>346360331</v>
      </c>
      <c r="I39" s="8">
        <v>2.66</v>
      </c>
      <c r="J39" s="8">
        <v>9.9</v>
      </c>
      <c r="K39" s="8">
        <v>2.0099999999999998</v>
      </c>
      <c r="L39" s="6">
        <v>12.3</v>
      </c>
      <c r="M39" s="6">
        <v>24.2</v>
      </c>
      <c r="N39" s="7">
        <v>-0.28000000000000003</v>
      </c>
    </row>
    <row r="40" spans="1:14" x14ac:dyDescent="0.25">
      <c r="A40" s="4" t="s">
        <v>137</v>
      </c>
      <c r="B40" s="4">
        <v>2019</v>
      </c>
      <c r="C40" s="5">
        <v>9521981860</v>
      </c>
      <c r="D40" s="5">
        <v>1060443181</v>
      </c>
      <c r="E40" s="5">
        <v>17486937448</v>
      </c>
      <c r="F40" s="5">
        <v>272524483</v>
      </c>
      <c r="G40" s="5">
        <v>117997332</v>
      </c>
      <c r="H40" s="5">
        <v>358261811</v>
      </c>
      <c r="I40" s="9">
        <v>2.86</v>
      </c>
      <c r="J40" s="9">
        <v>11.13</v>
      </c>
      <c r="K40" s="9">
        <v>2.0499999999999998</v>
      </c>
      <c r="L40" s="7">
        <v>-0.6</v>
      </c>
      <c r="M40" s="7">
        <v>-7.8</v>
      </c>
      <c r="N40" s="6">
        <v>0.2</v>
      </c>
    </row>
    <row r="41" spans="1:14" x14ac:dyDescent="0.25">
      <c r="A41" s="2" t="s">
        <v>137</v>
      </c>
      <c r="B41" s="2">
        <v>2020</v>
      </c>
      <c r="C41" s="3">
        <v>7771970992</v>
      </c>
      <c r="D41" s="3">
        <v>875141772</v>
      </c>
      <c r="E41" s="3">
        <v>18331760511</v>
      </c>
      <c r="F41" s="3">
        <v>255163706</v>
      </c>
      <c r="G41" s="3">
        <v>98726685</v>
      </c>
      <c r="H41" s="3">
        <v>383830228</v>
      </c>
      <c r="I41" s="8">
        <v>3.28</v>
      </c>
      <c r="J41" s="8">
        <v>11.28</v>
      </c>
      <c r="K41" s="8">
        <v>2.09</v>
      </c>
      <c r="L41" s="7">
        <v>-6.4</v>
      </c>
      <c r="M41" s="7">
        <v>-18.399999999999999</v>
      </c>
      <c r="N41" s="6">
        <v>0.42</v>
      </c>
    </row>
    <row r="42" spans="1:14" x14ac:dyDescent="0.25">
      <c r="A42" s="4" t="s">
        <v>137</v>
      </c>
      <c r="B42" s="4">
        <v>2021</v>
      </c>
      <c r="C42" s="5">
        <v>8679096029</v>
      </c>
      <c r="D42" s="5">
        <v>1074041330</v>
      </c>
      <c r="E42" s="5">
        <v>18354629196</v>
      </c>
      <c r="F42" s="5">
        <v>287619476</v>
      </c>
      <c r="G42" s="5">
        <v>157323782</v>
      </c>
      <c r="H42" s="5">
        <v>357180080</v>
      </c>
      <c r="I42" s="9">
        <v>3.31</v>
      </c>
      <c r="J42" s="9">
        <v>14.65</v>
      </c>
      <c r="K42" s="9">
        <v>1.95</v>
      </c>
      <c r="L42" s="6">
        <v>12.7</v>
      </c>
      <c r="M42" s="6">
        <v>11.7</v>
      </c>
      <c r="N42" s="6">
        <v>0.03</v>
      </c>
    </row>
    <row r="43" spans="1:14" x14ac:dyDescent="0.25">
      <c r="A43" s="2" t="s">
        <v>137</v>
      </c>
      <c r="B43" s="2">
        <v>2022</v>
      </c>
      <c r="C43" s="3">
        <v>11131399743</v>
      </c>
      <c r="D43" s="3">
        <v>1119897024</v>
      </c>
      <c r="E43" s="3">
        <v>22341352559</v>
      </c>
      <c r="F43" s="3">
        <v>452414172</v>
      </c>
      <c r="G43" s="3">
        <v>152617736</v>
      </c>
      <c r="H43" s="3">
        <v>475258556</v>
      </c>
      <c r="I43" s="8">
        <v>4.0599999999999996</v>
      </c>
      <c r="J43" s="8">
        <v>13.63</v>
      </c>
      <c r="K43" s="8">
        <v>2.13</v>
      </c>
      <c r="L43" s="6">
        <v>57.3</v>
      </c>
      <c r="M43" s="6">
        <v>28.3</v>
      </c>
      <c r="N43" s="6">
        <v>0.75</v>
      </c>
    </row>
    <row r="44" spans="1:14" x14ac:dyDescent="0.25">
      <c r="A44" s="4" t="s">
        <v>137</v>
      </c>
      <c r="B44" s="4">
        <v>2023</v>
      </c>
      <c r="C44" s="5">
        <v>10359652705</v>
      </c>
      <c r="D44" s="5">
        <v>1107666956</v>
      </c>
      <c r="E44" s="5">
        <v>21329307737</v>
      </c>
      <c r="F44" s="5">
        <v>349294927</v>
      </c>
      <c r="G44" s="5">
        <v>153569155</v>
      </c>
      <c r="H44" s="5">
        <v>413577872</v>
      </c>
      <c r="I44" s="9">
        <v>3.37</v>
      </c>
      <c r="J44" s="9">
        <v>13.86</v>
      </c>
      <c r="K44" s="9">
        <v>1.94</v>
      </c>
      <c r="L44" s="7">
        <v>-22.8</v>
      </c>
      <c r="M44" s="7">
        <v>-6.9</v>
      </c>
      <c r="N44" s="7">
        <v>-0.69</v>
      </c>
    </row>
    <row r="45" spans="1:14" x14ac:dyDescent="0.25">
      <c r="A45" s="2" t="s">
        <v>137</v>
      </c>
      <c r="B45" s="2">
        <v>2024</v>
      </c>
      <c r="C45" s="3">
        <v>13134201574</v>
      </c>
      <c r="D45" s="3">
        <v>1190182833</v>
      </c>
      <c r="E45" s="3">
        <v>22249621051</v>
      </c>
      <c r="F45" s="3">
        <v>330873864</v>
      </c>
      <c r="G45" s="3">
        <v>187964965</v>
      </c>
      <c r="H45" s="3">
        <v>415948184</v>
      </c>
      <c r="I45" s="8">
        <v>2.52</v>
      </c>
      <c r="J45" s="8">
        <v>15.79</v>
      </c>
      <c r="K45" s="8">
        <v>1.87</v>
      </c>
      <c r="L45" s="7">
        <v>-5.3</v>
      </c>
      <c r="M45" s="6">
        <v>26.8</v>
      </c>
      <c r="N45" s="7">
        <v>-0.85</v>
      </c>
    </row>
    <row r="46" spans="1:14" x14ac:dyDescent="0.25">
      <c r="A46" s="4" t="s">
        <v>137</v>
      </c>
      <c r="B46" s="4">
        <v>2025</v>
      </c>
      <c r="C46" s="5">
        <v>12659936644</v>
      </c>
      <c r="D46" s="5">
        <v>1344551403</v>
      </c>
      <c r="E46" s="5">
        <v>24785168804</v>
      </c>
      <c r="F46" s="5">
        <v>371136784</v>
      </c>
      <c r="G46" s="5">
        <v>205603882</v>
      </c>
      <c r="H46" s="5">
        <v>474123755</v>
      </c>
      <c r="I46" s="9">
        <v>2.93</v>
      </c>
      <c r="J46" s="9">
        <v>15.29</v>
      </c>
      <c r="K46" s="9">
        <v>1.91</v>
      </c>
      <c r="L46" s="6">
        <v>12.2</v>
      </c>
      <c r="M46" s="7">
        <v>-3.6</v>
      </c>
      <c r="N46" s="6">
        <v>0.41</v>
      </c>
    </row>
    <row r="47" spans="1:14" x14ac:dyDescent="0.25">
      <c r="A47" s="2" t="s">
        <v>134</v>
      </c>
      <c r="B47" s="2">
        <v>2015</v>
      </c>
      <c r="C47" s="3">
        <v>212694204</v>
      </c>
      <c r="D47" s="3">
        <v>41991445</v>
      </c>
      <c r="E47" s="3">
        <v>200944091</v>
      </c>
      <c r="F47" s="3">
        <v>4175102</v>
      </c>
      <c r="G47" s="3">
        <v>706270</v>
      </c>
      <c r="H47" s="3">
        <v>30625224</v>
      </c>
      <c r="I47" s="8">
        <v>1.96</v>
      </c>
      <c r="J47" s="8">
        <v>1.68</v>
      </c>
      <c r="K47" s="8">
        <v>15.24</v>
      </c>
      <c r="L47" s="2"/>
      <c r="M47" s="2"/>
      <c r="N47" s="2"/>
    </row>
    <row r="48" spans="1:14" x14ac:dyDescent="0.25">
      <c r="A48" s="4" t="s">
        <v>134</v>
      </c>
      <c r="B48" s="4">
        <v>2016</v>
      </c>
      <c r="C48" s="5">
        <v>198481544</v>
      </c>
      <c r="D48" s="5">
        <v>39531473</v>
      </c>
      <c r="E48" s="5">
        <v>273406456</v>
      </c>
      <c r="F48" s="5">
        <v>3789374</v>
      </c>
      <c r="G48" s="5">
        <v>946255</v>
      </c>
      <c r="H48" s="5">
        <v>34579933</v>
      </c>
      <c r="I48" s="9">
        <v>1.91</v>
      </c>
      <c r="J48" s="9">
        <v>2.39</v>
      </c>
      <c r="K48" s="9">
        <v>12.65</v>
      </c>
      <c r="L48" s="7">
        <v>-9.1999999999999993</v>
      </c>
      <c r="M48" s="7">
        <v>-6.7</v>
      </c>
      <c r="N48" s="7">
        <v>-0.05</v>
      </c>
    </row>
    <row r="49" spans="1:14" x14ac:dyDescent="0.25">
      <c r="A49" s="2" t="s">
        <v>134</v>
      </c>
      <c r="B49" s="2">
        <v>2017</v>
      </c>
      <c r="C49" s="3">
        <v>215975447</v>
      </c>
      <c r="D49" s="3">
        <v>46337223</v>
      </c>
      <c r="E49" s="3">
        <v>369665220</v>
      </c>
      <c r="F49" s="3">
        <v>6348961</v>
      </c>
      <c r="G49" s="3">
        <v>1494938</v>
      </c>
      <c r="H49" s="3">
        <v>78496115</v>
      </c>
      <c r="I49" s="8">
        <v>2.94</v>
      </c>
      <c r="J49" s="8">
        <v>3.23</v>
      </c>
      <c r="K49" s="8">
        <v>21.23</v>
      </c>
      <c r="L49" s="6">
        <v>67.5</v>
      </c>
      <c r="M49" s="6">
        <v>8.8000000000000007</v>
      </c>
      <c r="N49" s="6">
        <v>1.03</v>
      </c>
    </row>
    <row r="50" spans="1:14" x14ac:dyDescent="0.25">
      <c r="A50" s="4" t="s">
        <v>134</v>
      </c>
      <c r="B50" s="4">
        <v>2018</v>
      </c>
      <c r="C50" s="5">
        <v>232009368</v>
      </c>
      <c r="D50" s="5">
        <v>50395830</v>
      </c>
      <c r="E50" s="5">
        <v>510030651</v>
      </c>
      <c r="F50" s="5">
        <v>7584910</v>
      </c>
      <c r="G50" s="5">
        <v>3623539</v>
      </c>
      <c r="H50" s="5">
        <v>99137969</v>
      </c>
      <c r="I50" s="9">
        <v>3.27</v>
      </c>
      <c r="J50" s="9">
        <v>7.19</v>
      </c>
      <c r="K50" s="9">
        <v>19.440000000000001</v>
      </c>
      <c r="L50" s="6">
        <v>19.5</v>
      </c>
      <c r="M50" s="6">
        <v>7.4</v>
      </c>
      <c r="N50" s="6">
        <v>0.33</v>
      </c>
    </row>
    <row r="51" spans="1:14" x14ac:dyDescent="0.25">
      <c r="A51" s="2" t="s">
        <v>134</v>
      </c>
      <c r="B51" s="2">
        <v>2019</v>
      </c>
      <c r="C51" s="3">
        <v>284866421</v>
      </c>
      <c r="D51" s="3">
        <v>49285923</v>
      </c>
      <c r="E51" s="3">
        <v>1013971035</v>
      </c>
      <c r="F51" s="3">
        <v>11203115</v>
      </c>
      <c r="G51" s="3">
        <v>5663248</v>
      </c>
      <c r="H51" s="3">
        <v>149690060</v>
      </c>
      <c r="I51" s="8">
        <v>3.93</v>
      </c>
      <c r="J51" s="8">
        <v>11.49</v>
      </c>
      <c r="K51" s="8">
        <v>14.76</v>
      </c>
      <c r="L51" s="6">
        <v>47.7</v>
      </c>
      <c r="M51" s="6">
        <v>22.8</v>
      </c>
      <c r="N51" s="6">
        <v>0.66</v>
      </c>
    </row>
    <row r="52" spans="1:14" x14ac:dyDescent="0.25">
      <c r="A52" s="4" t="s">
        <v>134</v>
      </c>
      <c r="B52" s="4">
        <v>2020</v>
      </c>
      <c r="C52" s="5">
        <v>279062909</v>
      </c>
      <c r="D52" s="5">
        <v>48757037</v>
      </c>
      <c r="E52" s="5">
        <v>1449221422</v>
      </c>
      <c r="F52" s="5">
        <v>16465545</v>
      </c>
      <c r="G52" s="5">
        <v>5914154</v>
      </c>
      <c r="H52" s="5">
        <v>208841664</v>
      </c>
      <c r="I52" s="9">
        <v>5.9</v>
      </c>
      <c r="J52" s="9">
        <v>12.13</v>
      </c>
      <c r="K52" s="9">
        <v>14.41</v>
      </c>
      <c r="L52" s="6">
        <v>47</v>
      </c>
      <c r="M52" s="7">
        <v>-2</v>
      </c>
      <c r="N52" s="6">
        <v>1.97</v>
      </c>
    </row>
    <row r="53" spans="1:14" x14ac:dyDescent="0.25">
      <c r="A53" s="2" t="s">
        <v>134</v>
      </c>
      <c r="B53" s="2">
        <v>2021</v>
      </c>
      <c r="C53" s="3">
        <v>421701040</v>
      </c>
      <c r="D53" s="3">
        <v>61813207</v>
      </c>
      <c r="E53" s="3">
        <v>2692658607</v>
      </c>
      <c r="F53" s="3">
        <v>32215396</v>
      </c>
      <c r="G53" s="3">
        <v>13353461</v>
      </c>
      <c r="H53" s="3">
        <v>356807989</v>
      </c>
      <c r="I53" s="8">
        <v>7.64</v>
      </c>
      <c r="J53" s="8">
        <v>21.6</v>
      </c>
      <c r="K53" s="8">
        <v>13.25</v>
      </c>
      <c r="L53" s="6">
        <v>95.7</v>
      </c>
      <c r="M53" s="6">
        <v>51.1</v>
      </c>
      <c r="N53" s="6">
        <v>1.74</v>
      </c>
    </row>
    <row r="54" spans="1:14" x14ac:dyDescent="0.25">
      <c r="A54" s="4" t="s">
        <v>134</v>
      </c>
      <c r="B54" s="4">
        <v>2022</v>
      </c>
      <c r="C54" s="5">
        <v>376652431</v>
      </c>
      <c r="D54" s="5">
        <v>62692131</v>
      </c>
      <c r="E54" s="5">
        <v>2164375428</v>
      </c>
      <c r="F54" s="5">
        <v>62118350</v>
      </c>
      <c r="G54" s="5">
        <v>16164548</v>
      </c>
      <c r="H54" s="5">
        <v>685578082</v>
      </c>
      <c r="I54" s="9">
        <v>16.489999999999998</v>
      </c>
      <c r="J54" s="9">
        <v>25.78</v>
      </c>
      <c r="K54" s="9">
        <v>31.68</v>
      </c>
      <c r="L54" s="6">
        <v>92.8</v>
      </c>
      <c r="M54" s="7">
        <v>-10.7</v>
      </c>
      <c r="N54" s="6">
        <v>8.85</v>
      </c>
    </row>
    <row r="55" spans="1:14" x14ac:dyDescent="0.25">
      <c r="A55" s="2" t="s">
        <v>134</v>
      </c>
      <c r="B55" s="2">
        <v>2023</v>
      </c>
      <c r="C55" s="3">
        <v>302663768</v>
      </c>
      <c r="D55" s="3">
        <v>64615656</v>
      </c>
      <c r="E55" s="3">
        <v>1494415866</v>
      </c>
      <c r="F55" s="3">
        <v>42129153</v>
      </c>
      <c r="G55" s="3">
        <v>19369884</v>
      </c>
      <c r="H55" s="3">
        <v>493207644</v>
      </c>
      <c r="I55" s="8">
        <v>13.92</v>
      </c>
      <c r="J55" s="8">
        <v>29.98</v>
      </c>
      <c r="K55" s="8">
        <v>33</v>
      </c>
      <c r="L55" s="7">
        <v>-32.200000000000003</v>
      </c>
      <c r="M55" s="7">
        <v>-19.600000000000001</v>
      </c>
      <c r="N55" s="7">
        <v>-2.57</v>
      </c>
    </row>
    <row r="56" spans="1:14" x14ac:dyDescent="0.25">
      <c r="A56" s="4" t="s">
        <v>134</v>
      </c>
      <c r="B56" s="4">
        <v>2024</v>
      </c>
      <c r="C56" s="5">
        <v>344008910</v>
      </c>
      <c r="D56" s="5">
        <v>67908970</v>
      </c>
      <c r="E56" s="5">
        <v>1327835484</v>
      </c>
      <c r="F56" s="5">
        <v>50718988</v>
      </c>
      <c r="G56" s="5">
        <v>13993827</v>
      </c>
      <c r="H56" s="5">
        <v>566519208</v>
      </c>
      <c r="I56" s="9">
        <v>14.74</v>
      </c>
      <c r="J56" s="9">
        <v>20.61</v>
      </c>
      <c r="K56" s="9">
        <v>42.66</v>
      </c>
      <c r="L56" s="6">
        <v>20.399999999999999</v>
      </c>
      <c r="M56" s="6">
        <v>13.7</v>
      </c>
      <c r="N56" s="6">
        <v>0.82</v>
      </c>
    </row>
    <row r="57" spans="1:14" x14ac:dyDescent="0.25">
      <c r="A57" s="2" t="s">
        <v>134</v>
      </c>
      <c r="B57" s="2">
        <v>2025</v>
      </c>
      <c r="C57" s="3">
        <v>351907316</v>
      </c>
      <c r="D57" s="3">
        <v>75060018</v>
      </c>
      <c r="E57" s="3">
        <v>1096214724</v>
      </c>
      <c r="F57" s="3">
        <v>49021632</v>
      </c>
      <c r="G57" s="3">
        <v>20725233</v>
      </c>
      <c r="H57" s="3">
        <v>541961648</v>
      </c>
      <c r="I57" s="8">
        <v>13.93</v>
      </c>
      <c r="J57" s="8">
        <v>27.61</v>
      </c>
      <c r="K57" s="8">
        <v>49.44</v>
      </c>
      <c r="L57" s="7">
        <v>-3.3</v>
      </c>
      <c r="M57" s="6">
        <v>2.2999999999999998</v>
      </c>
      <c r="N57" s="7">
        <v>-0.81</v>
      </c>
    </row>
    <row r="58" spans="1:14" x14ac:dyDescent="0.25">
      <c r="A58" s="4" t="s">
        <v>196</v>
      </c>
      <c r="B58" s="4">
        <v>2015</v>
      </c>
      <c r="C58" s="5">
        <v>10769554785</v>
      </c>
      <c r="D58" s="5">
        <v>2192044790</v>
      </c>
      <c r="E58" s="5">
        <v>18863769083</v>
      </c>
      <c r="F58" s="5">
        <v>1060374575</v>
      </c>
      <c r="G58" s="5">
        <v>190975155</v>
      </c>
      <c r="H58" s="5">
        <v>1247500713</v>
      </c>
      <c r="I58" s="9">
        <v>9.85</v>
      </c>
      <c r="J58" s="9">
        <v>8.7100000000000009</v>
      </c>
      <c r="K58" s="9">
        <v>6.61</v>
      </c>
      <c r="L58" s="4"/>
      <c r="M58" s="4"/>
      <c r="N58" s="4"/>
    </row>
    <row r="59" spans="1:14" x14ac:dyDescent="0.25">
      <c r="A59" s="2" t="s">
        <v>196</v>
      </c>
      <c r="B59" s="2">
        <v>2016</v>
      </c>
      <c r="C59" s="3">
        <v>10624003533</v>
      </c>
      <c r="D59" s="3">
        <v>1716150182</v>
      </c>
      <c r="E59" s="3">
        <v>21501401959</v>
      </c>
      <c r="F59" s="3">
        <v>1103337447</v>
      </c>
      <c r="G59" s="3">
        <v>149275211</v>
      </c>
      <c r="H59" s="3">
        <v>1566955303</v>
      </c>
      <c r="I59" s="8">
        <v>10.39</v>
      </c>
      <c r="J59" s="8">
        <v>8.6999999999999993</v>
      </c>
      <c r="K59" s="8">
        <v>7.29</v>
      </c>
      <c r="L59" s="6">
        <v>4.0999999999999996</v>
      </c>
      <c r="M59" s="7">
        <v>-1.4</v>
      </c>
      <c r="N59" s="6">
        <v>0.54</v>
      </c>
    </row>
    <row r="60" spans="1:14" x14ac:dyDescent="0.25">
      <c r="A60" s="4" t="s">
        <v>196</v>
      </c>
      <c r="B60" s="4">
        <v>2017</v>
      </c>
      <c r="C60" s="5">
        <v>11903294253</v>
      </c>
      <c r="D60" s="5">
        <v>1840613305</v>
      </c>
      <c r="E60" s="5">
        <v>22690450688</v>
      </c>
      <c r="F60" s="5">
        <v>1302656800</v>
      </c>
      <c r="G60" s="5">
        <v>184381958</v>
      </c>
      <c r="H60" s="5">
        <v>1945525159</v>
      </c>
      <c r="I60" s="9">
        <v>10.94</v>
      </c>
      <c r="J60" s="9">
        <v>10.02</v>
      </c>
      <c r="K60" s="9">
        <v>8.57</v>
      </c>
      <c r="L60" s="6">
        <v>18.100000000000001</v>
      </c>
      <c r="M60" s="6">
        <v>12</v>
      </c>
      <c r="N60" s="6">
        <v>0.55000000000000004</v>
      </c>
    </row>
    <row r="61" spans="1:14" x14ac:dyDescent="0.25">
      <c r="A61" s="2" t="s">
        <v>196</v>
      </c>
      <c r="B61" s="2">
        <v>2018</v>
      </c>
      <c r="C61" s="3">
        <v>14348762358</v>
      </c>
      <c r="D61" s="3">
        <v>1960245150</v>
      </c>
      <c r="E61" s="3">
        <v>24617087806</v>
      </c>
      <c r="F61" s="3">
        <v>1495404122</v>
      </c>
      <c r="G61" s="3">
        <v>225958311</v>
      </c>
      <c r="H61" s="3">
        <v>2127849341</v>
      </c>
      <c r="I61" s="8">
        <v>10.42</v>
      </c>
      <c r="J61" s="8">
        <v>11.53</v>
      </c>
      <c r="K61" s="8">
        <v>8.64</v>
      </c>
      <c r="L61" s="6">
        <v>14.8</v>
      </c>
      <c r="M61" s="6">
        <v>20.5</v>
      </c>
      <c r="N61" s="7">
        <v>-0.52</v>
      </c>
    </row>
    <row r="62" spans="1:14" x14ac:dyDescent="0.25">
      <c r="A62" s="4" t="s">
        <v>196</v>
      </c>
      <c r="B62" s="4">
        <v>2019</v>
      </c>
      <c r="C62" s="5">
        <v>13326999142</v>
      </c>
      <c r="D62" s="5">
        <v>1905014717</v>
      </c>
      <c r="E62" s="5">
        <v>25065776105</v>
      </c>
      <c r="F62" s="5">
        <v>1426001920</v>
      </c>
      <c r="G62" s="5">
        <v>263966330</v>
      </c>
      <c r="H62" s="5">
        <v>2224169587</v>
      </c>
      <c r="I62" s="9">
        <v>10.7</v>
      </c>
      <c r="J62" s="9">
        <v>13.86</v>
      </c>
      <c r="K62" s="9">
        <v>8.8699999999999992</v>
      </c>
      <c r="L62" s="7">
        <v>-4.5999999999999996</v>
      </c>
      <c r="M62" s="7">
        <v>-7.1</v>
      </c>
      <c r="N62" s="6">
        <v>0.28000000000000003</v>
      </c>
    </row>
    <row r="63" spans="1:14" x14ac:dyDescent="0.25">
      <c r="A63" s="2" t="s">
        <v>196</v>
      </c>
      <c r="B63" s="2">
        <v>2020</v>
      </c>
      <c r="C63" s="3">
        <v>11763025642</v>
      </c>
      <c r="D63" s="3">
        <v>1590948541</v>
      </c>
      <c r="E63" s="3">
        <v>27157590925</v>
      </c>
      <c r="F63" s="3">
        <v>1539823381</v>
      </c>
      <c r="G63" s="3">
        <v>255820589</v>
      </c>
      <c r="H63" s="3">
        <v>2602145828</v>
      </c>
      <c r="I63" s="8">
        <v>13.09</v>
      </c>
      <c r="J63" s="8">
        <v>16.079999999999998</v>
      </c>
      <c r="K63" s="8">
        <v>9.58</v>
      </c>
      <c r="L63" s="6">
        <v>8</v>
      </c>
      <c r="M63" s="7">
        <v>-11.7</v>
      </c>
      <c r="N63" s="6">
        <v>2.39</v>
      </c>
    </row>
    <row r="64" spans="1:14" x14ac:dyDescent="0.25">
      <c r="A64" s="4" t="s">
        <v>196</v>
      </c>
      <c r="B64" s="4">
        <v>2021</v>
      </c>
      <c r="C64" s="5">
        <v>14410125091</v>
      </c>
      <c r="D64" s="5">
        <v>1966872659</v>
      </c>
      <c r="E64" s="5">
        <v>28888877822</v>
      </c>
      <c r="F64" s="5">
        <v>2145305632</v>
      </c>
      <c r="G64" s="5">
        <v>382461915</v>
      </c>
      <c r="H64" s="5">
        <v>2783131643</v>
      </c>
      <c r="I64" s="9">
        <v>14.89</v>
      </c>
      <c r="J64" s="9">
        <v>19.45</v>
      </c>
      <c r="K64" s="9">
        <v>9.6300000000000008</v>
      </c>
      <c r="L64" s="6">
        <v>39.299999999999997</v>
      </c>
      <c r="M64" s="6">
        <v>22.5</v>
      </c>
      <c r="N64" s="6">
        <v>1.8</v>
      </c>
    </row>
    <row r="65" spans="1:14" x14ac:dyDescent="0.25">
      <c r="A65" s="2" t="s">
        <v>196</v>
      </c>
      <c r="B65" s="2">
        <v>2022</v>
      </c>
      <c r="C65" s="3">
        <v>16945474779</v>
      </c>
      <c r="D65" s="3">
        <v>1686650080</v>
      </c>
      <c r="E65" s="3">
        <v>32312446673</v>
      </c>
      <c r="F65" s="3">
        <v>2309618035</v>
      </c>
      <c r="G65" s="3">
        <v>321967295</v>
      </c>
      <c r="H65" s="3">
        <v>3128989660</v>
      </c>
      <c r="I65" s="8">
        <v>13.63</v>
      </c>
      <c r="J65" s="8">
        <v>19.09</v>
      </c>
      <c r="K65" s="8">
        <v>9.68</v>
      </c>
      <c r="L65" s="6">
        <v>7.7</v>
      </c>
      <c r="M65" s="6">
        <v>17.600000000000001</v>
      </c>
      <c r="N65" s="7">
        <v>-1.26</v>
      </c>
    </row>
    <row r="66" spans="1:14" x14ac:dyDescent="0.25">
      <c r="A66" s="4" t="s">
        <v>196</v>
      </c>
      <c r="B66" s="4">
        <v>2023</v>
      </c>
      <c r="C66" s="5">
        <v>14715190221</v>
      </c>
      <c r="D66" s="5">
        <v>1671230677</v>
      </c>
      <c r="E66" s="5">
        <v>29447403703</v>
      </c>
      <c r="F66" s="5">
        <v>1766523806</v>
      </c>
      <c r="G66" s="5">
        <v>362466507</v>
      </c>
      <c r="H66" s="5">
        <v>2760510217</v>
      </c>
      <c r="I66" s="9">
        <v>12</v>
      </c>
      <c r="J66" s="9">
        <v>21.69</v>
      </c>
      <c r="K66" s="9">
        <v>9.3699999999999992</v>
      </c>
      <c r="L66" s="7">
        <v>-23.5</v>
      </c>
      <c r="M66" s="7">
        <v>-13.2</v>
      </c>
      <c r="N66" s="7">
        <v>-1.63</v>
      </c>
    </row>
    <row r="67" spans="1:14" x14ac:dyDescent="0.25">
      <c r="A67" s="2" t="s">
        <v>196</v>
      </c>
      <c r="B67" s="2">
        <v>2024</v>
      </c>
      <c r="C67" s="3">
        <v>17797656923</v>
      </c>
      <c r="D67" s="3">
        <v>1870543378</v>
      </c>
      <c r="E67" s="3">
        <v>30813840258</v>
      </c>
      <c r="F67" s="3">
        <v>1944148561</v>
      </c>
      <c r="G67" s="3">
        <v>433751338</v>
      </c>
      <c r="H67" s="3">
        <v>3176504571</v>
      </c>
      <c r="I67" s="8">
        <v>10.92</v>
      </c>
      <c r="J67" s="8">
        <v>23.19</v>
      </c>
      <c r="K67" s="8">
        <v>10.31</v>
      </c>
      <c r="L67" s="6">
        <v>10.1</v>
      </c>
      <c r="M67" s="6">
        <v>20.9</v>
      </c>
      <c r="N67" s="7">
        <v>-1.08</v>
      </c>
    </row>
    <row r="68" spans="1:14" x14ac:dyDescent="0.25">
      <c r="A68" s="4" t="s">
        <v>196</v>
      </c>
      <c r="B68" s="4">
        <v>2025</v>
      </c>
      <c r="C68" s="5">
        <v>16984631570</v>
      </c>
      <c r="D68" s="5">
        <v>2087540242</v>
      </c>
      <c r="E68" s="5">
        <v>32328575500</v>
      </c>
      <c r="F68" s="5">
        <v>1861447458</v>
      </c>
      <c r="G68" s="5">
        <v>477662363</v>
      </c>
      <c r="H68" s="5">
        <v>3211146259</v>
      </c>
      <c r="I68" s="9">
        <v>10.96</v>
      </c>
      <c r="J68" s="9">
        <v>22.88</v>
      </c>
      <c r="K68" s="9">
        <v>9.93</v>
      </c>
      <c r="L68" s="7">
        <v>-4.3</v>
      </c>
      <c r="M68" s="7">
        <v>-4.5999999999999996</v>
      </c>
      <c r="N68" s="6">
        <v>0.04</v>
      </c>
    </row>
  </sheetData>
  <mergeCells count="1">
    <mergeCell ref="A1:N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8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29.7109375" customWidth="1"/>
    <col min="2" max="8" width="8.7109375" customWidth="1"/>
    <col min="9" max="9" width="15.7109375" customWidth="1"/>
  </cols>
  <sheetData>
    <row r="1" spans="1:9" ht="20.100000000000001" customHeight="1" x14ac:dyDescent="0.25">
      <c r="A1" s="18" t="s">
        <v>218</v>
      </c>
      <c r="B1" s="18"/>
      <c r="C1" s="18"/>
      <c r="D1" s="18"/>
      <c r="E1" s="18"/>
      <c r="F1" s="18"/>
      <c r="G1" s="18"/>
      <c r="H1" s="18"/>
      <c r="I1" s="18"/>
    </row>
    <row r="2" spans="1:9" ht="38.1" customHeight="1" x14ac:dyDescent="0.25">
      <c r="A2" s="1" t="s">
        <v>122</v>
      </c>
      <c r="B2" s="1" t="s">
        <v>210</v>
      </c>
      <c r="C2" s="1" t="s">
        <v>211</v>
      </c>
      <c r="D2" s="1" t="s">
        <v>212</v>
      </c>
      <c r="E2" s="1" t="s">
        <v>213</v>
      </c>
      <c r="F2" s="1" t="s">
        <v>214</v>
      </c>
      <c r="G2" s="1" t="s">
        <v>215</v>
      </c>
      <c r="H2" s="1" t="s">
        <v>216</v>
      </c>
      <c r="I2" s="1" t="s">
        <v>217</v>
      </c>
    </row>
    <row r="3" spans="1:9" x14ac:dyDescent="0.25">
      <c r="A3" s="2" t="s">
        <v>134</v>
      </c>
      <c r="B3" s="2">
        <v>3.93</v>
      </c>
      <c r="C3" s="2">
        <v>5.9</v>
      </c>
      <c r="D3" s="2">
        <v>7.64</v>
      </c>
      <c r="E3" s="2">
        <v>16.489999999999998</v>
      </c>
      <c r="F3" s="2">
        <v>13.92</v>
      </c>
      <c r="G3" s="2">
        <v>14.74</v>
      </c>
      <c r="H3" s="2">
        <v>13.93</v>
      </c>
      <c r="I3" s="7">
        <v>-0.81</v>
      </c>
    </row>
    <row r="4" spans="1:9" x14ac:dyDescent="0.25">
      <c r="A4" s="4" t="s">
        <v>196</v>
      </c>
      <c r="B4" s="4">
        <v>10.7</v>
      </c>
      <c r="C4" s="4">
        <v>13.09</v>
      </c>
      <c r="D4" s="4">
        <v>14.89</v>
      </c>
      <c r="E4" s="4">
        <v>13.63</v>
      </c>
      <c r="F4" s="4">
        <v>12</v>
      </c>
      <c r="G4" s="4">
        <v>10.92</v>
      </c>
      <c r="H4" s="4">
        <v>10.96</v>
      </c>
      <c r="I4" s="6">
        <v>0.04</v>
      </c>
    </row>
    <row r="5" spans="1:9" x14ac:dyDescent="0.25">
      <c r="A5" s="2" t="s">
        <v>135</v>
      </c>
      <c r="B5" s="2">
        <v>30.57</v>
      </c>
      <c r="C5" s="2">
        <v>32.770000000000003</v>
      </c>
      <c r="D5" s="2">
        <v>33.9</v>
      </c>
      <c r="E5" s="2">
        <v>31.8</v>
      </c>
      <c r="F5" s="2">
        <v>33.99</v>
      </c>
      <c r="G5" s="2">
        <v>37.04</v>
      </c>
      <c r="H5" s="2">
        <v>37.14</v>
      </c>
      <c r="I5" s="6">
        <v>0.1</v>
      </c>
    </row>
    <row r="6" spans="1:9" x14ac:dyDescent="0.25">
      <c r="A6" s="4" t="s">
        <v>197</v>
      </c>
      <c r="B6" s="4">
        <v>33.200000000000003</v>
      </c>
      <c r="C6" s="4">
        <v>34.880000000000003</v>
      </c>
      <c r="D6" s="4">
        <v>35.159999999999997</v>
      </c>
      <c r="E6" s="4">
        <v>33.58</v>
      </c>
      <c r="F6" s="4">
        <v>34.54</v>
      </c>
      <c r="G6" s="4">
        <v>36.79</v>
      </c>
      <c r="H6" s="4">
        <v>36.93</v>
      </c>
      <c r="I6" s="6">
        <v>0.14000000000000001</v>
      </c>
    </row>
    <row r="7" spans="1:9" x14ac:dyDescent="0.25">
      <c r="A7" s="2" t="s">
        <v>136</v>
      </c>
      <c r="B7" s="2">
        <v>45.35</v>
      </c>
      <c r="C7" s="2">
        <v>45.5</v>
      </c>
      <c r="D7" s="2">
        <v>41.25</v>
      </c>
      <c r="E7" s="2">
        <v>44.02</v>
      </c>
      <c r="F7" s="2">
        <v>37.18</v>
      </c>
      <c r="G7" s="2">
        <v>35.56</v>
      </c>
      <c r="H7" s="2">
        <v>36.01</v>
      </c>
      <c r="I7" s="6">
        <v>0.45</v>
      </c>
    </row>
    <row r="8" spans="1:9" x14ac:dyDescent="0.25">
      <c r="A8" s="4" t="s">
        <v>137</v>
      </c>
      <c r="B8" s="4">
        <v>2.86</v>
      </c>
      <c r="C8" s="4">
        <v>3.28</v>
      </c>
      <c r="D8" s="4">
        <v>3.31</v>
      </c>
      <c r="E8" s="4">
        <v>4.0599999999999996</v>
      </c>
      <c r="F8" s="4">
        <v>3.37</v>
      </c>
      <c r="G8" s="4">
        <v>2.52</v>
      </c>
      <c r="H8" s="4">
        <v>2.93</v>
      </c>
      <c r="I8" s="6">
        <v>0.41</v>
      </c>
    </row>
  </sheetData>
  <mergeCells count="1">
    <mergeCell ref="A1:I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182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29.7109375" customWidth="1"/>
    <col min="2" max="3" width="7.7109375" customWidth="1"/>
    <col min="4" max="4" width="5.7109375" customWidth="1"/>
    <col min="5" max="7" width="15.7109375" customWidth="1"/>
  </cols>
  <sheetData>
    <row r="1" spans="1:7" ht="20.100000000000001" customHeight="1" x14ac:dyDescent="0.25">
      <c r="A1" s="18" t="s">
        <v>241</v>
      </c>
      <c r="B1" s="18"/>
      <c r="C1" s="18"/>
      <c r="D1" s="18"/>
      <c r="E1" s="18"/>
      <c r="F1" s="18"/>
      <c r="G1" s="18"/>
    </row>
    <row r="2" spans="1:7" ht="38.1" customHeight="1" x14ac:dyDescent="0.25">
      <c r="A2" s="1" t="s">
        <v>122</v>
      </c>
      <c r="B2" s="1" t="s">
        <v>0</v>
      </c>
      <c r="C2" s="1" t="s">
        <v>139</v>
      </c>
      <c r="D2" s="1" t="s">
        <v>219</v>
      </c>
      <c r="E2" s="1" t="s">
        <v>158</v>
      </c>
      <c r="F2" s="1" t="s">
        <v>160</v>
      </c>
      <c r="G2" s="1" t="s">
        <v>220</v>
      </c>
    </row>
    <row r="3" spans="1:7" x14ac:dyDescent="0.25">
      <c r="A3" s="2" t="s">
        <v>134</v>
      </c>
      <c r="B3" s="2">
        <v>2023</v>
      </c>
      <c r="C3" s="2">
        <v>1</v>
      </c>
      <c r="D3" s="2" t="s">
        <v>221</v>
      </c>
      <c r="E3" s="3">
        <v>82106794</v>
      </c>
      <c r="F3" s="3">
        <v>720475882</v>
      </c>
      <c r="G3" s="8">
        <v>27.13</v>
      </c>
    </row>
    <row r="4" spans="1:7" x14ac:dyDescent="0.25">
      <c r="A4" s="4" t="s">
        <v>134</v>
      </c>
      <c r="B4" s="4">
        <v>2023</v>
      </c>
      <c r="C4" s="4">
        <v>2</v>
      </c>
      <c r="D4" s="4" t="s">
        <v>222</v>
      </c>
      <c r="E4" s="5">
        <v>59733382</v>
      </c>
      <c r="F4" s="5">
        <v>13195720</v>
      </c>
      <c r="G4" s="9">
        <v>19.739999999999998</v>
      </c>
    </row>
    <row r="5" spans="1:7" x14ac:dyDescent="0.25">
      <c r="A5" s="2" t="s">
        <v>134</v>
      </c>
      <c r="B5" s="2">
        <v>2023</v>
      </c>
      <c r="C5" s="2">
        <v>3</v>
      </c>
      <c r="D5" s="2" t="s">
        <v>223</v>
      </c>
      <c r="E5" s="3">
        <v>42129153</v>
      </c>
      <c r="F5" s="3">
        <v>493207644</v>
      </c>
      <c r="G5" s="8">
        <v>13.92</v>
      </c>
    </row>
    <row r="6" spans="1:7" x14ac:dyDescent="0.25">
      <c r="A6" s="4" t="s">
        <v>134</v>
      </c>
      <c r="B6" s="4">
        <v>2023</v>
      </c>
      <c r="C6" s="4">
        <v>4</v>
      </c>
      <c r="D6" s="4" t="s">
        <v>224</v>
      </c>
      <c r="E6" s="5">
        <v>36390375</v>
      </c>
      <c r="F6" s="5">
        <v>115984167</v>
      </c>
      <c r="G6" s="9">
        <v>12.02</v>
      </c>
    </row>
    <row r="7" spans="1:7" x14ac:dyDescent="0.25">
      <c r="A7" s="2" t="s">
        <v>134</v>
      </c>
      <c r="B7" s="2">
        <v>2023</v>
      </c>
      <c r="C7" s="2">
        <v>5</v>
      </c>
      <c r="D7" s="2" t="s">
        <v>225</v>
      </c>
      <c r="E7" s="3">
        <v>25705872</v>
      </c>
      <c r="F7" s="3">
        <v>3747140</v>
      </c>
      <c r="G7" s="8">
        <v>8.49</v>
      </c>
    </row>
    <row r="8" spans="1:7" x14ac:dyDescent="0.25">
      <c r="A8" s="4" t="s">
        <v>134</v>
      </c>
      <c r="B8" s="4">
        <v>2023</v>
      </c>
      <c r="C8" s="4">
        <v>6</v>
      </c>
      <c r="D8" s="4" t="s">
        <v>226</v>
      </c>
      <c r="E8" s="5">
        <v>18954812</v>
      </c>
      <c r="F8" s="5">
        <v>98597196</v>
      </c>
      <c r="G8" s="9">
        <v>6.26</v>
      </c>
    </row>
    <row r="9" spans="1:7" x14ac:dyDescent="0.25">
      <c r="A9" s="2" t="s">
        <v>134</v>
      </c>
      <c r="B9" s="2">
        <v>2023</v>
      </c>
      <c r="C9" s="2">
        <v>7</v>
      </c>
      <c r="D9" s="2" t="s">
        <v>227</v>
      </c>
      <c r="E9" s="3">
        <v>17418712</v>
      </c>
      <c r="F9" s="3">
        <v>12199924</v>
      </c>
      <c r="G9" s="8">
        <v>5.76</v>
      </c>
    </row>
    <row r="10" spans="1:7" x14ac:dyDescent="0.25">
      <c r="A10" s="4" t="s">
        <v>134</v>
      </c>
      <c r="B10" s="4">
        <v>2023</v>
      </c>
      <c r="C10" s="4">
        <v>8</v>
      </c>
      <c r="D10" s="4" t="s">
        <v>228</v>
      </c>
      <c r="E10" s="5">
        <v>7495208</v>
      </c>
      <c r="F10" s="5">
        <v>7088396</v>
      </c>
      <c r="G10" s="9">
        <v>2.48</v>
      </c>
    </row>
    <row r="11" spans="1:7" x14ac:dyDescent="0.25">
      <c r="A11" s="2" t="s">
        <v>134</v>
      </c>
      <c r="B11" s="2">
        <v>2023</v>
      </c>
      <c r="C11" s="2">
        <v>9</v>
      </c>
      <c r="D11" s="2" t="s">
        <v>229</v>
      </c>
      <c r="E11" s="3">
        <v>3419852</v>
      </c>
      <c r="F11" s="3">
        <v>4222064</v>
      </c>
      <c r="G11" s="8">
        <v>1.1299999999999999</v>
      </c>
    </row>
    <row r="12" spans="1:7" x14ac:dyDescent="0.25">
      <c r="A12" s="4" t="s">
        <v>134</v>
      </c>
      <c r="B12" s="4">
        <v>2023</v>
      </c>
      <c r="C12" s="4">
        <v>10</v>
      </c>
      <c r="D12" s="4" t="s">
        <v>230</v>
      </c>
      <c r="E12" s="5">
        <v>3131312</v>
      </c>
      <c r="F12" s="5">
        <v>997095</v>
      </c>
      <c r="G12" s="9">
        <v>1.03</v>
      </c>
    </row>
    <row r="13" spans="1:7" x14ac:dyDescent="0.25">
      <c r="A13" s="2" t="s">
        <v>134</v>
      </c>
      <c r="B13" s="2">
        <v>2024</v>
      </c>
      <c r="C13" s="2">
        <v>1</v>
      </c>
      <c r="D13" s="2" t="s">
        <v>222</v>
      </c>
      <c r="E13" s="3">
        <v>79765782</v>
      </c>
      <c r="F13" s="3">
        <v>17144730</v>
      </c>
      <c r="G13" s="8">
        <v>23.19</v>
      </c>
    </row>
    <row r="14" spans="1:7" x14ac:dyDescent="0.25">
      <c r="A14" s="4" t="s">
        <v>134</v>
      </c>
      <c r="B14" s="4">
        <v>2024</v>
      </c>
      <c r="C14" s="4">
        <v>2</v>
      </c>
      <c r="D14" s="4" t="s">
        <v>221</v>
      </c>
      <c r="E14" s="5">
        <v>56623946</v>
      </c>
      <c r="F14" s="5">
        <v>408096735</v>
      </c>
      <c r="G14" s="9">
        <v>16.46</v>
      </c>
    </row>
    <row r="15" spans="1:7" x14ac:dyDescent="0.25">
      <c r="A15" s="2" t="s">
        <v>134</v>
      </c>
      <c r="B15" s="2">
        <v>2024</v>
      </c>
      <c r="C15" s="2">
        <v>3</v>
      </c>
      <c r="D15" s="2" t="s">
        <v>224</v>
      </c>
      <c r="E15" s="3">
        <v>53864645</v>
      </c>
      <c r="F15" s="3">
        <v>168117093</v>
      </c>
      <c r="G15" s="8">
        <v>15.66</v>
      </c>
    </row>
    <row r="16" spans="1:7" x14ac:dyDescent="0.25">
      <c r="A16" s="4" t="s">
        <v>134</v>
      </c>
      <c r="B16" s="4">
        <v>2024</v>
      </c>
      <c r="C16" s="4">
        <v>4</v>
      </c>
      <c r="D16" s="4" t="s">
        <v>223</v>
      </c>
      <c r="E16" s="5">
        <v>50718988</v>
      </c>
      <c r="F16" s="5">
        <v>566519208</v>
      </c>
      <c r="G16" s="9">
        <v>14.74</v>
      </c>
    </row>
    <row r="17" spans="1:7" x14ac:dyDescent="0.25">
      <c r="A17" s="2" t="s">
        <v>134</v>
      </c>
      <c r="B17" s="2">
        <v>2024</v>
      </c>
      <c r="C17" s="2">
        <v>5</v>
      </c>
      <c r="D17" s="2" t="s">
        <v>225</v>
      </c>
      <c r="E17" s="3">
        <v>30159382</v>
      </c>
      <c r="F17" s="3">
        <v>4653580</v>
      </c>
      <c r="G17" s="8">
        <v>8.77</v>
      </c>
    </row>
    <row r="18" spans="1:7" x14ac:dyDescent="0.25">
      <c r="A18" s="4" t="s">
        <v>134</v>
      </c>
      <c r="B18" s="4">
        <v>2024</v>
      </c>
      <c r="C18" s="4">
        <v>6</v>
      </c>
      <c r="D18" s="4" t="s">
        <v>227</v>
      </c>
      <c r="E18" s="5">
        <v>21063443</v>
      </c>
      <c r="F18" s="5">
        <v>14329409</v>
      </c>
      <c r="G18" s="9">
        <v>6.12</v>
      </c>
    </row>
    <row r="19" spans="1:7" x14ac:dyDescent="0.25">
      <c r="A19" s="2" t="s">
        <v>134</v>
      </c>
      <c r="B19" s="2">
        <v>2024</v>
      </c>
      <c r="C19" s="2">
        <v>7</v>
      </c>
      <c r="D19" s="2" t="s">
        <v>226</v>
      </c>
      <c r="E19" s="3">
        <v>20441831</v>
      </c>
      <c r="F19" s="3">
        <v>98515751</v>
      </c>
      <c r="G19" s="8">
        <v>5.94</v>
      </c>
    </row>
    <row r="20" spans="1:7" x14ac:dyDescent="0.25">
      <c r="A20" s="4" t="s">
        <v>134</v>
      </c>
      <c r="B20" s="4">
        <v>2024</v>
      </c>
      <c r="C20" s="4">
        <v>8</v>
      </c>
      <c r="D20" s="4" t="s">
        <v>230</v>
      </c>
      <c r="E20" s="5">
        <v>6645019</v>
      </c>
      <c r="F20" s="5">
        <v>1480345</v>
      </c>
      <c r="G20" s="9">
        <v>1.93</v>
      </c>
    </row>
    <row r="21" spans="1:7" x14ac:dyDescent="0.25">
      <c r="A21" s="2" t="s">
        <v>134</v>
      </c>
      <c r="B21" s="2">
        <v>2024</v>
      </c>
      <c r="C21" s="2">
        <v>9</v>
      </c>
      <c r="D21" s="2" t="s">
        <v>228</v>
      </c>
      <c r="E21" s="3">
        <v>6454057</v>
      </c>
      <c r="F21" s="3">
        <v>7823681</v>
      </c>
      <c r="G21" s="8">
        <v>1.88</v>
      </c>
    </row>
    <row r="22" spans="1:7" x14ac:dyDescent="0.25">
      <c r="A22" s="4" t="s">
        <v>134</v>
      </c>
      <c r="B22" s="4">
        <v>2024</v>
      </c>
      <c r="C22" s="4">
        <v>10</v>
      </c>
      <c r="D22" s="4" t="s">
        <v>229</v>
      </c>
      <c r="E22" s="5">
        <v>5602753</v>
      </c>
      <c r="F22" s="5">
        <v>4005908</v>
      </c>
      <c r="G22" s="9">
        <v>1.63</v>
      </c>
    </row>
    <row r="23" spans="1:7" x14ac:dyDescent="0.25">
      <c r="A23" s="2" t="s">
        <v>134</v>
      </c>
      <c r="B23" s="2">
        <v>2025</v>
      </c>
      <c r="C23" s="2">
        <v>1</v>
      </c>
      <c r="D23" s="2" t="s">
        <v>222</v>
      </c>
      <c r="E23" s="3">
        <v>106925353</v>
      </c>
      <c r="F23" s="3">
        <v>17305841</v>
      </c>
      <c r="G23" s="8">
        <v>30.38</v>
      </c>
    </row>
    <row r="24" spans="1:7" x14ac:dyDescent="0.25">
      <c r="A24" s="4" t="s">
        <v>134</v>
      </c>
      <c r="B24" s="4">
        <v>2025</v>
      </c>
      <c r="C24" s="4">
        <v>2</v>
      </c>
      <c r="D24" s="4" t="s">
        <v>223</v>
      </c>
      <c r="E24" s="5">
        <v>49021632</v>
      </c>
      <c r="F24" s="5">
        <v>541961648</v>
      </c>
      <c r="G24" s="9">
        <v>13.93</v>
      </c>
    </row>
    <row r="25" spans="1:7" x14ac:dyDescent="0.25">
      <c r="A25" s="2" t="s">
        <v>134</v>
      </c>
      <c r="B25" s="2">
        <v>2025</v>
      </c>
      <c r="C25" s="2">
        <v>3</v>
      </c>
      <c r="D25" s="2" t="s">
        <v>224</v>
      </c>
      <c r="E25" s="3">
        <v>46061071</v>
      </c>
      <c r="F25" s="3">
        <v>145045594</v>
      </c>
      <c r="G25" s="8">
        <v>13.09</v>
      </c>
    </row>
    <row r="26" spans="1:7" x14ac:dyDescent="0.25">
      <c r="A26" s="4" t="s">
        <v>134</v>
      </c>
      <c r="B26" s="4">
        <v>2025</v>
      </c>
      <c r="C26" s="4">
        <v>4</v>
      </c>
      <c r="D26" s="4" t="s">
        <v>221</v>
      </c>
      <c r="E26" s="5">
        <v>40279095</v>
      </c>
      <c r="F26" s="5">
        <v>249479975</v>
      </c>
      <c r="G26" s="9">
        <v>11.45</v>
      </c>
    </row>
    <row r="27" spans="1:7" x14ac:dyDescent="0.25">
      <c r="A27" s="2" t="s">
        <v>134</v>
      </c>
      <c r="B27" s="2">
        <v>2025</v>
      </c>
      <c r="C27" s="2">
        <v>5</v>
      </c>
      <c r="D27" s="2" t="s">
        <v>225</v>
      </c>
      <c r="E27" s="3">
        <v>36329781</v>
      </c>
      <c r="F27" s="3">
        <v>4261893</v>
      </c>
      <c r="G27" s="8">
        <v>10.32</v>
      </c>
    </row>
    <row r="28" spans="1:7" x14ac:dyDescent="0.25">
      <c r="A28" s="4" t="s">
        <v>134</v>
      </c>
      <c r="B28" s="4">
        <v>2025</v>
      </c>
      <c r="C28" s="4">
        <v>6</v>
      </c>
      <c r="D28" s="4" t="s">
        <v>227</v>
      </c>
      <c r="E28" s="5">
        <v>22637126</v>
      </c>
      <c r="F28" s="5">
        <v>11802322</v>
      </c>
      <c r="G28" s="9">
        <v>6.43</v>
      </c>
    </row>
    <row r="29" spans="1:7" x14ac:dyDescent="0.25">
      <c r="A29" s="2" t="s">
        <v>134</v>
      </c>
      <c r="B29" s="2">
        <v>2025</v>
      </c>
      <c r="C29" s="2">
        <v>7</v>
      </c>
      <c r="D29" s="2" t="s">
        <v>226</v>
      </c>
      <c r="E29" s="3">
        <v>21772411</v>
      </c>
      <c r="F29" s="3">
        <v>109382645</v>
      </c>
      <c r="G29" s="8">
        <v>6.19</v>
      </c>
    </row>
    <row r="30" spans="1:7" x14ac:dyDescent="0.25">
      <c r="A30" s="4" t="s">
        <v>134</v>
      </c>
      <c r="B30" s="4">
        <v>2025</v>
      </c>
      <c r="C30" s="4">
        <v>8</v>
      </c>
      <c r="D30" s="4" t="s">
        <v>229</v>
      </c>
      <c r="E30" s="5">
        <v>9389156</v>
      </c>
      <c r="F30" s="5">
        <v>3374693</v>
      </c>
      <c r="G30" s="9">
        <v>2.67</v>
      </c>
    </row>
    <row r="31" spans="1:7" x14ac:dyDescent="0.25">
      <c r="A31" s="2" t="s">
        <v>134</v>
      </c>
      <c r="B31" s="2">
        <v>2025</v>
      </c>
      <c r="C31" s="2">
        <v>9</v>
      </c>
      <c r="D31" s="2" t="s">
        <v>228</v>
      </c>
      <c r="E31" s="3">
        <v>6741057</v>
      </c>
      <c r="F31" s="3">
        <v>950078</v>
      </c>
      <c r="G31" s="8">
        <v>1.92</v>
      </c>
    </row>
    <row r="32" spans="1:7" x14ac:dyDescent="0.25">
      <c r="A32" s="4" t="s">
        <v>134</v>
      </c>
      <c r="B32" s="4">
        <v>2025</v>
      </c>
      <c r="C32" s="4">
        <v>10</v>
      </c>
      <c r="D32" s="4" t="s">
        <v>231</v>
      </c>
      <c r="E32" s="5">
        <v>3279253</v>
      </c>
      <c r="F32" s="5">
        <v>760716</v>
      </c>
      <c r="G32" s="9">
        <v>0.93</v>
      </c>
    </row>
    <row r="33" spans="1:7" x14ac:dyDescent="0.25">
      <c r="A33" s="2" t="s">
        <v>196</v>
      </c>
      <c r="B33" s="2">
        <v>2023</v>
      </c>
      <c r="C33" s="2">
        <v>1</v>
      </c>
      <c r="D33" s="2" t="s">
        <v>227</v>
      </c>
      <c r="E33" s="3">
        <v>2809821564</v>
      </c>
      <c r="F33" s="3">
        <v>5531029313</v>
      </c>
      <c r="G33" s="8">
        <v>19.09</v>
      </c>
    </row>
    <row r="34" spans="1:7" x14ac:dyDescent="0.25">
      <c r="A34" s="4" t="s">
        <v>196</v>
      </c>
      <c r="B34" s="4">
        <v>2023</v>
      </c>
      <c r="C34" s="4">
        <v>2</v>
      </c>
      <c r="D34" s="4" t="s">
        <v>228</v>
      </c>
      <c r="E34" s="5">
        <v>2720972543</v>
      </c>
      <c r="F34" s="5">
        <v>3574070446</v>
      </c>
      <c r="G34" s="9">
        <v>18.489999999999998</v>
      </c>
    </row>
    <row r="35" spans="1:7" x14ac:dyDescent="0.25">
      <c r="A35" s="2" t="s">
        <v>196</v>
      </c>
      <c r="B35" s="2">
        <v>2023</v>
      </c>
      <c r="C35" s="2">
        <v>3</v>
      </c>
      <c r="D35" s="2" t="s">
        <v>223</v>
      </c>
      <c r="E35" s="3">
        <v>1766523806</v>
      </c>
      <c r="F35" s="3">
        <v>2760510217</v>
      </c>
      <c r="G35" s="8">
        <v>12</v>
      </c>
    </row>
    <row r="36" spans="1:7" x14ac:dyDescent="0.25">
      <c r="A36" s="4" t="s">
        <v>196</v>
      </c>
      <c r="B36" s="4">
        <v>2023</v>
      </c>
      <c r="C36" s="4">
        <v>4</v>
      </c>
      <c r="D36" s="4" t="s">
        <v>221</v>
      </c>
      <c r="E36" s="5">
        <v>1551426953</v>
      </c>
      <c r="F36" s="5">
        <v>3945383311</v>
      </c>
      <c r="G36" s="9">
        <v>10.54</v>
      </c>
    </row>
    <row r="37" spans="1:7" x14ac:dyDescent="0.25">
      <c r="A37" s="2" t="s">
        <v>196</v>
      </c>
      <c r="B37" s="2">
        <v>2023</v>
      </c>
      <c r="C37" s="2">
        <v>5</v>
      </c>
      <c r="D37" s="2" t="s">
        <v>232</v>
      </c>
      <c r="E37" s="3">
        <v>1500016485</v>
      </c>
      <c r="F37" s="3">
        <v>3984790971</v>
      </c>
      <c r="G37" s="8">
        <v>10.19</v>
      </c>
    </row>
    <row r="38" spans="1:7" x14ac:dyDescent="0.25">
      <c r="A38" s="4" t="s">
        <v>196</v>
      </c>
      <c r="B38" s="4">
        <v>2023</v>
      </c>
      <c r="C38" s="4">
        <v>6</v>
      </c>
      <c r="D38" s="4" t="s">
        <v>233</v>
      </c>
      <c r="E38" s="5">
        <v>1251087362</v>
      </c>
      <c r="F38" s="5">
        <v>3004110072</v>
      </c>
      <c r="G38" s="9">
        <v>8.5</v>
      </c>
    </row>
    <row r="39" spans="1:7" x14ac:dyDescent="0.25">
      <c r="A39" s="2" t="s">
        <v>196</v>
      </c>
      <c r="B39" s="2">
        <v>2023</v>
      </c>
      <c r="C39" s="2">
        <v>7</v>
      </c>
      <c r="D39" s="2" t="s">
        <v>231</v>
      </c>
      <c r="E39" s="3">
        <v>1055924467</v>
      </c>
      <c r="F39" s="3">
        <v>1685779656</v>
      </c>
      <c r="G39" s="8">
        <v>7.18</v>
      </c>
    </row>
    <row r="40" spans="1:7" x14ac:dyDescent="0.25">
      <c r="A40" s="4" t="s">
        <v>196</v>
      </c>
      <c r="B40" s="4">
        <v>2023</v>
      </c>
      <c r="C40" s="4">
        <v>8</v>
      </c>
      <c r="D40" s="4" t="s">
        <v>234</v>
      </c>
      <c r="E40" s="5">
        <v>782743550</v>
      </c>
      <c r="F40" s="5">
        <v>2082933621</v>
      </c>
      <c r="G40" s="9">
        <v>5.32</v>
      </c>
    </row>
    <row r="41" spans="1:7" x14ac:dyDescent="0.25">
      <c r="A41" s="2" t="s">
        <v>196</v>
      </c>
      <c r="B41" s="2">
        <v>2023</v>
      </c>
      <c r="C41" s="2">
        <v>9</v>
      </c>
      <c r="D41" s="2" t="s">
        <v>235</v>
      </c>
      <c r="E41" s="3">
        <v>622348049</v>
      </c>
      <c r="F41" s="3">
        <v>1597976232</v>
      </c>
      <c r="G41" s="8">
        <v>4.2300000000000004</v>
      </c>
    </row>
    <row r="42" spans="1:7" x14ac:dyDescent="0.25">
      <c r="A42" s="4" t="s">
        <v>196</v>
      </c>
      <c r="B42" s="4">
        <v>2023</v>
      </c>
      <c r="C42" s="4">
        <v>10</v>
      </c>
      <c r="D42" s="4" t="s">
        <v>226</v>
      </c>
      <c r="E42" s="5">
        <v>215829812</v>
      </c>
      <c r="F42" s="5">
        <v>243170896</v>
      </c>
      <c r="G42" s="9">
        <v>1.47</v>
      </c>
    </row>
    <row r="43" spans="1:7" x14ac:dyDescent="0.25">
      <c r="A43" s="2" t="s">
        <v>196</v>
      </c>
      <c r="B43" s="2">
        <v>2024</v>
      </c>
      <c r="C43" s="2">
        <v>1</v>
      </c>
      <c r="D43" s="2" t="s">
        <v>227</v>
      </c>
      <c r="E43" s="3">
        <v>3236585720</v>
      </c>
      <c r="F43" s="3">
        <v>5524498995</v>
      </c>
      <c r="G43" s="8">
        <v>18.190000000000001</v>
      </c>
    </row>
    <row r="44" spans="1:7" x14ac:dyDescent="0.25">
      <c r="A44" s="4" t="s">
        <v>196</v>
      </c>
      <c r="B44" s="4">
        <v>2024</v>
      </c>
      <c r="C44" s="4">
        <v>2</v>
      </c>
      <c r="D44" s="4" t="s">
        <v>228</v>
      </c>
      <c r="E44" s="5">
        <v>2823777565</v>
      </c>
      <c r="F44" s="5">
        <v>3774746179</v>
      </c>
      <c r="G44" s="9">
        <v>15.87</v>
      </c>
    </row>
    <row r="45" spans="1:7" x14ac:dyDescent="0.25">
      <c r="A45" s="2" t="s">
        <v>196</v>
      </c>
      <c r="B45" s="2">
        <v>2024</v>
      </c>
      <c r="C45" s="2">
        <v>3</v>
      </c>
      <c r="D45" s="2" t="s">
        <v>232</v>
      </c>
      <c r="E45" s="3">
        <v>2678648054</v>
      </c>
      <c r="F45" s="3">
        <v>4669986087</v>
      </c>
      <c r="G45" s="8">
        <v>15.05</v>
      </c>
    </row>
    <row r="46" spans="1:7" x14ac:dyDescent="0.25">
      <c r="A46" s="4" t="s">
        <v>196</v>
      </c>
      <c r="B46" s="4">
        <v>2024</v>
      </c>
      <c r="C46" s="4">
        <v>4</v>
      </c>
      <c r="D46" s="4" t="s">
        <v>223</v>
      </c>
      <c r="E46" s="5">
        <v>1944148561</v>
      </c>
      <c r="F46" s="5">
        <v>3176504571</v>
      </c>
      <c r="G46" s="9">
        <v>10.92</v>
      </c>
    </row>
    <row r="47" spans="1:7" x14ac:dyDescent="0.25">
      <c r="A47" s="2" t="s">
        <v>196</v>
      </c>
      <c r="B47" s="2">
        <v>2024</v>
      </c>
      <c r="C47" s="2">
        <v>5</v>
      </c>
      <c r="D47" s="2" t="s">
        <v>221</v>
      </c>
      <c r="E47" s="3">
        <v>1676871733</v>
      </c>
      <c r="F47" s="3">
        <v>3863180059</v>
      </c>
      <c r="G47" s="8">
        <v>9.42</v>
      </c>
    </row>
    <row r="48" spans="1:7" x14ac:dyDescent="0.25">
      <c r="A48" s="4" t="s">
        <v>196</v>
      </c>
      <c r="B48" s="4">
        <v>2024</v>
      </c>
      <c r="C48" s="4">
        <v>6</v>
      </c>
      <c r="D48" s="4" t="s">
        <v>233</v>
      </c>
      <c r="E48" s="5">
        <v>1510230707</v>
      </c>
      <c r="F48" s="5">
        <v>2996377090</v>
      </c>
      <c r="G48" s="9">
        <v>8.49</v>
      </c>
    </row>
    <row r="49" spans="1:7" x14ac:dyDescent="0.25">
      <c r="A49" s="2" t="s">
        <v>196</v>
      </c>
      <c r="B49" s="2">
        <v>2024</v>
      </c>
      <c r="C49" s="2">
        <v>7</v>
      </c>
      <c r="D49" s="2" t="s">
        <v>231</v>
      </c>
      <c r="E49" s="3">
        <v>1121806262</v>
      </c>
      <c r="F49" s="3">
        <v>1660796947</v>
      </c>
      <c r="G49" s="8">
        <v>6.3</v>
      </c>
    </row>
    <row r="50" spans="1:7" x14ac:dyDescent="0.25">
      <c r="A50" s="4" t="s">
        <v>196</v>
      </c>
      <c r="B50" s="4">
        <v>2024</v>
      </c>
      <c r="C50" s="4">
        <v>8</v>
      </c>
      <c r="D50" s="4" t="s">
        <v>234</v>
      </c>
      <c r="E50" s="5">
        <v>1102551818</v>
      </c>
      <c r="F50" s="5">
        <v>1991354613</v>
      </c>
      <c r="G50" s="9">
        <v>6.19</v>
      </c>
    </row>
    <row r="51" spans="1:7" x14ac:dyDescent="0.25">
      <c r="A51" s="2" t="s">
        <v>196</v>
      </c>
      <c r="B51" s="2">
        <v>2024</v>
      </c>
      <c r="C51" s="2">
        <v>9</v>
      </c>
      <c r="D51" s="2" t="s">
        <v>235</v>
      </c>
      <c r="E51" s="3">
        <v>940604351</v>
      </c>
      <c r="F51" s="3">
        <v>1675318679</v>
      </c>
      <c r="G51" s="8">
        <v>5.28</v>
      </c>
    </row>
    <row r="52" spans="1:7" x14ac:dyDescent="0.25">
      <c r="A52" s="4" t="s">
        <v>196</v>
      </c>
      <c r="B52" s="4">
        <v>2024</v>
      </c>
      <c r="C52" s="4">
        <v>10</v>
      </c>
      <c r="D52" s="4" t="s">
        <v>226</v>
      </c>
      <c r="E52" s="5">
        <v>212387521</v>
      </c>
      <c r="F52" s="5">
        <v>241563412</v>
      </c>
      <c r="G52" s="9">
        <v>1.19</v>
      </c>
    </row>
    <row r="53" spans="1:7" x14ac:dyDescent="0.25">
      <c r="A53" s="2" t="s">
        <v>196</v>
      </c>
      <c r="B53" s="2">
        <v>2025</v>
      </c>
      <c r="C53" s="2">
        <v>1</v>
      </c>
      <c r="D53" s="2" t="s">
        <v>232</v>
      </c>
      <c r="E53" s="3">
        <v>3122891329</v>
      </c>
      <c r="F53" s="3">
        <v>6917196983</v>
      </c>
      <c r="G53" s="8">
        <v>18.39</v>
      </c>
    </row>
    <row r="54" spans="1:7" x14ac:dyDescent="0.25">
      <c r="A54" s="4" t="s">
        <v>196</v>
      </c>
      <c r="B54" s="4">
        <v>2025</v>
      </c>
      <c r="C54" s="4">
        <v>2</v>
      </c>
      <c r="D54" s="4" t="s">
        <v>227</v>
      </c>
      <c r="E54" s="5">
        <v>3105705974</v>
      </c>
      <c r="F54" s="5">
        <v>5301296618</v>
      </c>
      <c r="G54" s="9">
        <v>18.29</v>
      </c>
    </row>
    <row r="55" spans="1:7" x14ac:dyDescent="0.25">
      <c r="A55" s="2" t="s">
        <v>196</v>
      </c>
      <c r="B55" s="2">
        <v>2025</v>
      </c>
      <c r="C55" s="2">
        <v>3</v>
      </c>
      <c r="D55" s="2" t="s">
        <v>228</v>
      </c>
      <c r="E55" s="3">
        <v>2652368126</v>
      </c>
      <c r="F55" s="3">
        <v>3793918912</v>
      </c>
      <c r="G55" s="8">
        <v>15.62</v>
      </c>
    </row>
    <row r="56" spans="1:7" x14ac:dyDescent="0.25">
      <c r="A56" s="4" t="s">
        <v>196</v>
      </c>
      <c r="B56" s="4">
        <v>2025</v>
      </c>
      <c r="C56" s="4">
        <v>4</v>
      </c>
      <c r="D56" s="4" t="s">
        <v>223</v>
      </c>
      <c r="E56" s="5">
        <v>1861447458</v>
      </c>
      <c r="F56" s="5">
        <v>3211146259</v>
      </c>
      <c r="G56" s="9">
        <v>10.96</v>
      </c>
    </row>
    <row r="57" spans="1:7" x14ac:dyDescent="0.25">
      <c r="A57" s="2" t="s">
        <v>196</v>
      </c>
      <c r="B57" s="2">
        <v>2025</v>
      </c>
      <c r="C57" s="2">
        <v>5</v>
      </c>
      <c r="D57" s="2" t="s">
        <v>221</v>
      </c>
      <c r="E57" s="3">
        <v>1526447045</v>
      </c>
      <c r="F57" s="3">
        <v>3406542278</v>
      </c>
      <c r="G57" s="8">
        <v>8.99</v>
      </c>
    </row>
    <row r="58" spans="1:7" x14ac:dyDescent="0.25">
      <c r="A58" s="4" t="s">
        <v>196</v>
      </c>
      <c r="B58" s="4">
        <v>2025</v>
      </c>
      <c r="C58" s="4">
        <v>6</v>
      </c>
      <c r="D58" s="4" t="s">
        <v>233</v>
      </c>
      <c r="E58" s="5">
        <v>1355188044</v>
      </c>
      <c r="F58" s="5">
        <v>3098925794</v>
      </c>
      <c r="G58" s="9">
        <v>7.98</v>
      </c>
    </row>
    <row r="59" spans="1:7" x14ac:dyDescent="0.25">
      <c r="A59" s="2" t="s">
        <v>196</v>
      </c>
      <c r="B59" s="2">
        <v>2025</v>
      </c>
      <c r="C59" s="2">
        <v>7</v>
      </c>
      <c r="D59" s="2" t="s">
        <v>231</v>
      </c>
      <c r="E59" s="3">
        <v>1032639436</v>
      </c>
      <c r="F59" s="3">
        <v>1743066267</v>
      </c>
      <c r="G59" s="8">
        <v>6.08</v>
      </c>
    </row>
    <row r="60" spans="1:7" x14ac:dyDescent="0.25">
      <c r="A60" s="4" t="s">
        <v>196</v>
      </c>
      <c r="B60" s="4">
        <v>2025</v>
      </c>
      <c r="C60" s="4">
        <v>8</v>
      </c>
      <c r="D60" s="4" t="s">
        <v>234</v>
      </c>
      <c r="E60" s="5">
        <v>874061668</v>
      </c>
      <c r="F60" s="5">
        <v>1928010156</v>
      </c>
      <c r="G60" s="9">
        <v>5.15</v>
      </c>
    </row>
    <row r="61" spans="1:7" x14ac:dyDescent="0.25">
      <c r="A61" s="2" t="s">
        <v>196</v>
      </c>
      <c r="B61" s="2">
        <v>2025</v>
      </c>
      <c r="C61" s="2">
        <v>9</v>
      </c>
      <c r="D61" s="2" t="s">
        <v>235</v>
      </c>
      <c r="E61" s="3">
        <v>709766193</v>
      </c>
      <c r="F61" s="3">
        <v>1619901374</v>
      </c>
      <c r="G61" s="8">
        <v>4.18</v>
      </c>
    </row>
    <row r="62" spans="1:7" x14ac:dyDescent="0.25">
      <c r="A62" s="4" t="s">
        <v>196</v>
      </c>
      <c r="B62" s="4">
        <v>2025</v>
      </c>
      <c r="C62" s="4">
        <v>10</v>
      </c>
      <c r="D62" s="4" t="s">
        <v>226</v>
      </c>
      <c r="E62" s="5">
        <v>234213012</v>
      </c>
      <c r="F62" s="5">
        <v>271900235</v>
      </c>
      <c r="G62" s="9">
        <v>1.38</v>
      </c>
    </row>
    <row r="63" spans="1:7" x14ac:dyDescent="0.25">
      <c r="A63" s="2" t="s">
        <v>135</v>
      </c>
      <c r="B63" s="2">
        <v>2023</v>
      </c>
      <c r="C63" s="2">
        <v>1</v>
      </c>
      <c r="D63" s="2" t="s">
        <v>228</v>
      </c>
      <c r="E63" s="3">
        <v>1231380834</v>
      </c>
      <c r="F63" s="3">
        <v>1800128760</v>
      </c>
      <c r="G63" s="8">
        <v>37.729999999999997</v>
      </c>
    </row>
    <row r="64" spans="1:7" x14ac:dyDescent="0.25">
      <c r="A64" s="4" t="s">
        <v>135</v>
      </c>
      <c r="B64" s="4">
        <v>2023</v>
      </c>
      <c r="C64" s="4">
        <v>2</v>
      </c>
      <c r="D64" s="4" t="s">
        <v>223</v>
      </c>
      <c r="E64" s="5">
        <v>1109375093</v>
      </c>
      <c r="F64" s="5">
        <v>1751497933</v>
      </c>
      <c r="G64" s="9">
        <v>33.99</v>
      </c>
    </row>
    <row r="65" spans="1:7" x14ac:dyDescent="0.25">
      <c r="A65" s="2" t="s">
        <v>135</v>
      </c>
      <c r="B65" s="2">
        <v>2023</v>
      </c>
      <c r="C65" s="2">
        <v>3</v>
      </c>
      <c r="D65" s="2" t="s">
        <v>221</v>
      </c>
      <c r="E65" s="3">
        <v>321770689</v>
      </c>
      <c r="F65" s="3">
        <v>1428786592</v>
      </c>
      <c r="G65" s="8">
        <v>9.86</v>
      </c>
    </row>
    <row r="66" spans="1:7" x14ac:dyDescent="0.25">
      <c r="A66" s="4" t="s">
        <v>135</v>
      </c>
      <c r="B66" s="4">
        <v>2023</v>
      </c>
      <c r="C66" s="4">
        <v>4</v>
      </c>
      <c r="D66" s="4" t="s">
        <v>226</v>
      </c>
      <c r="E66" s="5">
        <v>194705337</v>
      </c>
      <c r="F66" s="5">
        <v>144251699</v>
      </c>
      <c r="G66" s="9">
        <v>5.97</v>
      </c>
    </row>
    <row r="67" spans="1:7" x14ac:dyDescent="0.25">
      <c r="A67" s="2" t="s">
        <v>135</v>
      </c>
      <c r="B67" s="2">
        <v>2023</v>
      </c>
      <c r="C67" s="2">
        <v>5</v>
      </c>
      <c r="D67" s="2" t="s">
        <v>227</v>
      </c>
      <c r="E67" s="3">
        <v>140419856</v>
      </c>
      <c r="F67" s="3">
        <v>274605609</v>
      </c>
      <c r="G67" s="8">
        <v>4.3</v>
      </c>
    </row>
    <row r="68" spans="1:7" x14ac:dyDescent="0.25">
      <c r="A68" s="4" t="s">
        <v>135</v>
      </c>
      <c r="B68" s="4">
        <v>2023</v>
      </c>
      <c r="C68" s="4">
        <v>6</v>
      </c>
      <c r="D68" s="4" t="s">
        <v>224</v>
      </c>
      <c r="E68" s="5">
        <v>83911738</v>
      </c>
      <c r="F68" s="5">
        <v>74932550</v>
      </c>
      <c r="G68" s="9">
        <v>2.57</v>
      </c>
    </row>
    <row r="69" spans="1:7" x14ac:dyDescent="0.25">
      <c r="A69" s="2" t="s">
        <v>135</v>
      </c>
      <c r="B69" s="2">
        <v>2023</v>
      </c>
      <c r="C69" s="2">
        <v>7</v>
      </c>
      <c r="D69" s="2" t="s">
        <v>236</v>
      </c>
      <c r="E69" s="3">
        <v>83467502</v>
      </c>
      <c r="F69" s="3">
        <v>705684155</v>
      </c>
      <c r="G69" s="8">
        <v>2.56</v>
      </c>
    </row>
    <row r="70" spans="1:7" x14ac:dyDescent="0.25">
      <c r="A70" s="4" t="s">
        <v>135</v>
      </c>
      <c r="B70" s="4">
        <v>2023</v>
      </c>
      <c r="C70" s="4">
        <v>8</v>
      </c>
      <c r="D70" s="4" t="s">
        <v>237</v>
      </c>
      <c r="E70" s="5">
        <v>59163919</v>
      </c>
      <c r="F70" s="5">
        <v>40085924</v>
      </c>
      <c r="G70" s="9">
        <v>1.81</v>
      </c>
    </row>
    <row r="71" spans="1:7" x14ac:dyDescent="0.25">
      <c r="A71" s="2" t="s">
        <v>135</v>
      </c>
      <c r="B71" s="2">
        <v>2023</v>
      </c>
      <c r="C71" s="2">
        <v>9</v>
      </c>
      <c r="D71" s="2" t="s">
        <v>230</v>
      </c>
      <c r="E71" s="3">
        <v>17492175</v>
      </c>
      <c r="F71" s="3">
        <v>24717126</v>
      </c>
      <c r="G71" s="8">
        <v>0.54</v>
      </c>
    </row>
    <row r="72" spans="1:7" x14ac:dyDescent="0.25">
      <c r="A72" s="4" t="s">
        <v>135</v>
      </c>
      <c r="B72" s="4">
        <v>2023</v>
      </c>
      <c r="C72" s="4">
        <v>10</v>
      </c>
      <c r="D72" s="4" t="s">
        <v>231</v>
      </c>
      <c r="E72" s="5">
        <v>10023107</v>
      </c>
      <c r="F72" s="5">
        <v>28006354</v>
      </c>
      <c r="G72" s="9">
        <v>0.31</v>
      </c>
    </row>
    <row r="73" spans="1:7" x14ac:dyDescent="0.25">
      <c r="A73" s="2" t="s">
        <v>135</v>
      </c>
      <c r="B73" s="2">
        <v>2024</v>
      </c>
      <c r="C73" s="2">
        <v>1</v>
      </c>
      <c r="D73" s="2" t="s">
        <v>223</v>
      </c>
      <c r="E73" s="3">
        <v>1298661200</v>
      </c>
      <c r="F73" s="3">
        <v>2089992945</v>
      </c>
      <c r="G73" s="8">
        <v>37.04</v>
      </c>
    </row>
    <row r="74" spans="1:7" x14ac:dyDescent="0.25">
      <c r="A74" s="4" t="s">
        <v>135</v>
      </c>
      <c r="B74" s="4">
        <v>2024</v>
      </c>
      <c r="C74" s="4">
        <v>2</v>
      </c>
      <c r="D74" s="4" t="s">
        <v>228</v>
      </c>
      <c r="E74" s="5">
        <v>1283434562</v>
      </c>
      <c r="F74" s="5">
        <v>1953824613</v>
      </c>
      <c r="G74" s="9">
        <v>36.61</v>
      </c>
    </row>
    <row r="75" spans="1:7" x14ac:dyDescent="0.25">
      <c r="A75" s="2" t="s">
        <v>135</v>
      </c>
      <c r="B75" s="2">
        <v>2024</v>
      </c>
      <c r="C75" s="2">
        <v>3</v>
      </c>
      <c r="D75" s="2" t="s">
        <v>221</v>
      </c>
      <c r="E75" s="3">
        <v>316989357</v>
      </c>
      <c r="F75" s="3">
        <v>1487886703</v>
      </c>
      <c r="G75" s="8">
        <v>9.0399999999999991</v>
      </c>
    </row>
    <row r="76" spans="1:7" x14ac:dyDescent="0.25">
      <c r="A76" s="4" t="s">
        <v>135</v>
      </c>
      <c r="B76" s="4">
        <v>2024</v>
      </c>
      <c r="C76" s="4">
        <v>4</v>
      </c>
      <c r="D76" s="4" t="s">
        <v>226</v>
      </c>
      <c r="E76" s="5">
        <v>189482006</v>
      </c>
      <c r="F76" s="5">
        <v>141354223</v>
      </c>
      <c r="G76" s="9">
        <v>5.4</v>
      </c>
    </row>
    <row r="77" spans="1:7" x14ac:dyDescent="0.25">
      <c r="A77" s="2" t="s">
        <v>135</v>
      </c>
      <c r="B77" s="2">
        <v>2024</v>
      </c>
      <c r="C77" s="2">
        <v>5</v>
      </c>
      <c r="D77" s="2" t="s">
        <v>227</v>
      </c>
      <c r="E77" s="3">
        <v>165672120</v>
      </c>
      <c r="F77" s="3">
        <v>317486979</v>
      </c>
      <c r="G77" s="8">
        <v>4.7300000000000004</v>
      </c>
    </row>
    <row r="78" spans="1:7" x14ac:dyDescent="0.25">
      <c r="A78" s="4" t="s">
        <v>135</v>
      </c>
      <c r="B78" s="4">
        <v>2024</v>
      </c>
      <c r="C78" s="4">
        <v>6</v>
      </c>
      <c r="D78" s="4" t="s">
        <v>236</v>
      </c>
      <c r="E78" s="5">
        <v>79237049</v>
      </c>
      <c r="F78" s="5">
        <v>675128903</v>
      </c>
      <c r="G78" s="9">
        <v>2.2599999999999998</v>
      </c>
    </row>
    <row r="79" spans="1:7" x14ac:dyDescent="0.25">
      <c r="A79" s="2" t="s">
        <v>135</v>
      </c>
      <c r="B79" s="2">
        <v>2024</v>
      </c>
      <c r="C79" s="2">
        <v>7</v>
      </c>
      <c r="D79" s="2" t="s">
        <v>224</v>
      </c>
      <c r="E79" s="3">
        <v>72484627</v>
      </c>
      <c r="F79" s="3">
        <v>67891257</v>
      </c>
      <c r="G79" s="8">
        <v>2.0699999999999998</v>
      </c>
    </row>
    <row r="80" spans="1:7" x14ac:dyDescent="0.25">
      <c r="A80" s="4" t="s">
        <v>135</v>
      </c>
      <c r="B80" s="4">
        <v>2024</v>
      </c>
      <c r="C80" s="4">
        <v>8</v>
      </c>
      <c r="D80" s="4" t="s">
        <v>237</v>
      </c>
      <c r="E80" s="5">
        <v>54732083</v>
      </c>
      <c r="F80" s="5">
        <v>40803304</v>
      </c>
      <c r="G80" s="9">
        <v>1.56</v>
      </c>
    </row>
    <row r="81" spans="1:7" x14ac:dyDescent="0.25">
      <c r="A81" s="2" t="s">
        <v>135</v>
      </c>
      <c r="B81" s="2">
        <v>2024</v>
      </c>
      <c r="C81" s="2">
        <v>9</v>
      </c>
      <c r="D81" s="2" t="s">
        <v>231</v>
      </c>
      <c r="E81" s="3">
        <v>15373120</v>
      </c>
      <c r="F81" s="3">
        <v>42530191</v>
      </c>
      <c r="G81" s="8">
        <v>0.44</v>
      </c>
    </row>
    <row r="82" spans="1:7" x14ac:dyDescent="0.25">
      <c r="A82" s="4" t="s">
        <v>135</v>
      </c>
      <c r="B82" s="4">
        <v>2024</v>
      </c>
      <c r="C82" s="4">
        <v>10</v>
      </c>
      <c r="D82" s="4" t="s">
        <v>230</v>
      </c>
      <c r="E82" s="5">
        <v>10378868</v>
      </c>
      <c r="F82" s="5">
        <v>15698795</v>
      </c>
      <c r="G82" s="9">
        <v>0.3</v>
      </c>
    </row>
    <row r="83" spans="1:7" x14ac:dyDescent="0.25">
      <c r="A83" s="2" t="s">
        <v>135</v>
      </c>
      <c r="B83" s="2">
        <v>2025</v>
      </c>
      <c r="C83" s="2">
        <v>1</v>
      </c>
      <c r="D83" s="2" t="s">
        <v>223</v>
      </c>
      <c r="E83" s="3">
        <v>1172015840</v>
      </c>
      <c r="F83" s="3">
        <v>2086603674</v>
      </c>
      <c r="G83" s="8">
        <v>37.14</v>
      </c>
    </row>
    <row r="84" spans="1:7" x14ac:dyDescent="0.25">
      <c r="A84" s="4" t="s">
        <v>135</v>
      </c>
      <c r="B84" s="4">
        <v>2025</v>
      </c>
      <c r="C84" s="4">
        <v>2</v>
      </c>
      <c r="D84" s="4" t="s">
        <v>228</v>
      </c>
      <c r="E84" s="5">
        <v>1083167292</v>
      </c>
      <c r="F84" s="5">
        <v>1799318102</v>
      </c>
      <c r="G84" s="9">
        <v>34.32</v>
      </c>
    </row>
    <row r="85" spans="1:7" x14ac:dyDescent="0.25">
      <c r="A85" s="2" t="s">
        <v>135</v>
      </c>
      <c r="B85" s="2">
        <v>2025</v>
      </c>
      <c r="C85" s="2">
        <v>3</v>
      </c>
      <c r="D85" s="2" t="s">
        <v>221</v>
      </c>
      <c r="E85" s="3">
        <v>246801554</v>
      </c>
      <c r="F85" s="3">
        <v>827548239</v>
      </c>
      <c r="G85" s="8">
        <v>7.82</v>
      </c>
    </row>
    <row r="86" spans="1:7" x14ac:dyDescent="0.25">
      <c r="A86" s="4" t="s">
        <v>135</v>
      </c>
      <c r="B86" s="4">
        <v>2025</v>
      </c>
      <c r="C86" s="4">
        <v>4</v>
      </c>
      <c r="D86" s="4" t="s">
        <v>226</v>
      </c>
      <c r="E86" s="5">
        <v>209837349</v>
      </c>
      <c r="F86" s="5">
        <v>160446490</v>
      </c>
      <c r="G86" s="9">
        <v>6.65</v>
      </c>
    </row>
    <row r="87" spans="1:7" x14ac:dyDescent="0.25">
      <c r="A87" s="2" t="s">
        <v>135</v>
      </c>
      <c r="B87" s="2">
        <v>2025</v>
      </c>
      <c r="C87" s="2">
        <v>5</v>
      </c>
      <c r="D87" s="2" t="s">
        <v>227</v>
      </c>
      <c r="E87" s="3">
        <v>190780604</v>
      </c>
      <c r="F87" s="3">
        <v>366257714</v>
      </c>
      <c r="G87" s="8">
        <v>6.05</v>
      </c>
    </row>
    <row r="88" spans="1:7" x14ac:dyDescent="0.25">
      <c r="A88" s="4" t="s">
        <v>135</v>
      </c>
      <c r="B88" s="4">
        <v>2025</v>
      </c>
      <c r="C88" s="4">
        <v>6</v>
      </c>
      <c r="D88" s="4" t="s">
        <v>236</v>
      </c>
      <c r="E88" s="5">
        <v>74866750</v>
      </c>
      <c r="F88" s="5">
        <v>651779168</v>
      </c>
      <c r="G88" s="9">
        <v>2.37</v>
      </c>
    </row>
    <row r="89" spans="1:7" x14ac:dyDescent="0.25">
      <c r="A89" s="2" t="s">
        <v>135</v>
      </c>
      <c r="B89" s="2">
        <v>2025</v>
      </c>
      <c r="C89" s="2">
        <v>7</v>
      </c>
      <c r="D89" s="2" t="s">
        <v>237</v>
      </c>
      <c r="E89" s="3">
        <v>71302334</v>
      </c>
      <c r="F89" s="3">
        <v>45991313</v>
      </c>
      <c r="G89" s="8">
        <v>2.2599999999999998</v>
      </c>
    </row>
    <row r="90" spans="1:7" x14ac:dyDescent="0.25">
      <c r="A90" s="4" t="s">
        <v>135</v>
      </c>
      <c r="B90" s="4">
        <v>2025</v>
      </c>
      <c r="C90" s="4">
        <v>8</v>
      </c>
      <c r="D90" s="4" t="s">
        <v>224</v>
      </c>
      <c r="E90" s="5">
        <v>66925395</v>
      </c>
      <c r="F90" s="5">
        <v>69318849</v>
      </c>
      <c r="G90" s="9">
        <v>2.12</v>
      </c>
    </row>
    <row r="91" spans="1:7" x14ac:dyDescent="0.25">
      <c r="A91" s="2" t="s">
        <v>135</v>
      </c>
      <c r="B91" s="2">
        <v>2025</v>
      </c>
      <c r="C91" s="2">
        <v>9</v>
      </c>
      <c r="D91" s="2" t="s">
        <v>230</v>
      </c>
      <c r="E91" s="3">
        <v>12287863</v>
      </c>
      <c r="F91" s="3">
        <v>21095551</v>
      </c>
      <c r="G91" s="8">
        <v>0.39</v>
      </c>
    </row>
    <row r="92" spans="1:7" x14ac:dyDescent="0.25">
      <c r="A92" s="4" t="s">
        <v>135</v>
      </c>
      <c r="B92" s="4">
        <v>2025</v>
      </c>
      <c r="C92" s="4">
        <v>10</v>
      </c>
      <c r="D92" s="4" t="s">
        <v>231</v>
      </c>
      <c r="E92" s="5">
        <v>12168801</v>
      </c>
      <c r="F92" s="5">
        <v>33698915</v>
      </c>
      <c r="G92" s="9">
        <v>0.39</v>
      </c>
    </row>
    <row r="93" spans="1:7" x14ac:dyDescent="0.25">
      <c r="A93" s="2" t="s">
        <v>197</v>
      </c>
      <c r="B93" s="2">
        <v>2023</v>
      </c>
      <c r="C93" s="2">
        <v>1</v>
      </c>
      <c r="D93" s="2" t="s">
        <v>223</v>
      </c>
      <c r="E93" s="3">
        <v>1362485080</v>
      </c>
      <c r="F93" s="3">
        <v>1851761434</v>
      </c>
      <c r="G93" s="8">
        <v>34.54</v>
      </c>
    </row>
    <row r="94" spans="1:7" x14ac:dyDescent="0.25">
      <c r="A94" s="4" t="s">
        <v>197</v>
      </c>
      <c r="B94" s="4">
        <v>2023</v>
      </c>
      <c r="C94" s="4">
        <v>2</v>
      </c>
      <c r="D94" s="4" t="s">
        <v>228</v>
      </c>
      <c r="E94" s="5">
        <v>1333764450</v>
      </c>
      <c r="F94" s="5">
        <v>1868660870</v>
      </c>
      <c r="G94" s="9">
        <v>33.82</v>
      </c>
    </row>
    <row r="95" spans="1:7" x14ac:dyDescent="0.25">
      <c r="A95" s="2" t="s">
        <v>197</v>
      </c>
      <c r="B95" s="2">
        <v>2023</v>
      </c>
      <c r="C95" s="2">
        <v>3</v>
      </c>
      <c r="D95" s="2" t="s">
        <v>221</v>
      </c>
      <c r="E95" s="3">
        <v>528419054</v>
      </c>
      <c r="F95" s="3">
        <v>1546066851</v>
      </c>
      <c r="G95" s="8">
        <v>13.4</v>
      </c>
    </row>
    <row r="96" spans="1:7" x14ac:dyDescent="0.25">
      <c r="A96" s="4" t="s">
        <v>197</v>
      </c>
      <c r="B96" s="4">
        <v>2023</v>
      </c>
      <c r="C96" s="4">
        <v>4</v>
      </c>
      <c r="D96" s="4" t="s">
        <v>227</v>
      </c>
      <c r="E96" s="5">
        <v>233248330</v>
      </c>
      <c r="F96" s="5">
        <v>297564407</v>
      </c>
      <c r="G96" s="9">
        <v>5.91</v>
      </c>
    </row>
    <row r="97" spans="1:7" x14ac:dyDescent="0.25">
      <c r="A97" s="2" t="s">
        <v>197</v>
      </c>
      <c r="B97" s="2">
        <v>2023</v>
      </c>
      <c r="C97" s="2">
        <v>5</v>
      </c>
      <c r="D97" s="2" t="s">
        <v>226</v>
      </c>
      <c r="E97" s="3">
        <v>195370820</v>
      </c>
      <c r="F97" s="3">
        <v>144357638</v>
      </c>
      <c r="G97" s="8">
        <v>4.95</v>
      </c>
    </row>
    <row r="98" spans="1:7" x14ac:dyDescent="0.25">
      <c r="A98" s="4" t="s">
        <v>197</v>
      </c>
      <c r="B98" s="4">
        <v>2023</v>
      </c>
      <c r="C98" s="4">
        <v>6</v>
      </c>
      <c r="D98" s="4" t="s">
        <v>224</v>
      </c>
      <c r="E98" s="5">
        <v>84253423</v>
      </c>
      <c r="F98" s="5">
        <v>74977441</v>
      </c>
      <c r="G98" s="9">
        <v>2.14</v>
      </c>
    </row>
    <row r="99" spans="1:7" x14ac:dyDescent="0.25">
      <c r="A99" s="2" t="s">
        <v>197</v>
      </c>
      <c r="B99" s="2">
        <v>2023</v>
      </c>
      <c r="C99" s="2">
        <v>7</v>
      </c>
      <c r="D99" s="2" t="s">
        <v>236</v>
      </c>
      <c r="E99" s="3">
        <v>83493536</v>
      </c>
      <c r="F99" s="3">
        <v>705707964</v>
      </c>
      <c r="G99" s="8">
        <v>2.12</v>
      </c>
    </row>
    <row r="100" spans="1:7" x14ac:dyDescent="0.25">
      <c r="A100" s="4" t="s">
        <v>197</v>
      </c>
      <c r="B100" s="4">
        <v>2023</v>
      </c>
      <c r="C100" s="4">
        <v>8</v>
      </c>
      <c r="D100" s="4" t="s">
        <v>237</v>
      </c>
      <c r="E100" s="5">
        <v>59716690</v>
      </c>
      <c r="F100" s="5">
        <v>40260614</v>
      </c>
      <c r="G100" s="9">
        <v>1.51</v>
      </c>
    </row>
    <row r="101" spans="1:7" x14ac:dyDescent="0.25">
      <c r="A101" s="2" t="s">
        <v>197</v>
      </c>
      <c r="B101" s="2">
        <v>2023</v>
      </c>
      <c r="C101" s="2">
        <v>9</v>
      </c>
      <c r="D101" s="2" t="s">
        <v>231</v>
      </c>
      <c r="E101" s="3">
        <v>24759354</v>
      </c>
      <c r="F101" s="3">
        <v>34757158</v>
      </c>
      <c r="G101" s="8">
        <v>0.63</v>
      </c>
    </row>
    <row r="102" spans="1:7" x14ac:dyDescent="0.25">
      <c r="A102" s="4" t="s">
        <v>197</v>
      </c>
      <c r="B102" s="4">
        <v>2023</v>
      </c>
      <c r="C102" s="4">
        <v>10</v>
      </c>
      <c r="D102" s="4" t="s">
        <v>230</v>
      </c>
      <c r="E102" s="5">
        <v>17539150</v>
      </c>
      <c r="F102" s="5">
        <v>24728005</v>
      </c>
      <c r="G102" s="9">
        <v>0.44</v>
      </c>
    </row>
    <row r="103" spans="1:7" x14ac:dyDescent="0.25">
      <c r="A103" s="2" t="s">
        <v>197</v>
      </c>
      <c r="B103" s="2">
        <v>2024</v>
      </c>
      <c r="C103" s="2">
        <v>1</v>
      </c>
      <c r="D103" s="2" t="s">
        <v>223</v>
      </c>
      <c r="E103" s="3">
        <v>1550194028</v>
      </c>
      <c r="F103" s="3">
        <v>2191960487</v>
      </c>
      <c r="G103" s="8">
        <v>36.79</v>
      </c>
    </row>
    <row r="104" spans="1:7" x14ac:dyDescent="0.25">
      <c r="A104" s="4" t="s">
        <v>197</v>
      </c>
      <c r="B104" s="4">
        <v>2024</v>
      </c>
      <c r="C104" s="4">
        <v>2</v>
      </c>
      <c r="D104" s="4" t="s">
        <v>228</v>
      </c>
      <c r="E104" s="5">
        <v>1397779361</v>
      </c>
      <c r="F104" s="5">
        <v>2032034118</v>
      </c>
      <c r="G104" s="9">
        <v>33.17</v>
      </c>
    </row>
    <row r="105" spans="1:7" x14ac:dyDescent="0.25">
      <c r="A105" s="2" t="s">
        <v>197</v>
      </c>
      <c r="B105" s="2">
        <v>2024</v>
      </c>
      <c r="C105" s="2">
        <v>3</v>
      </c>
      <c r="D105" s="2" t="s">
        <v>221</v>
      </c>
      <c r="E105" s="3">
        <v>540890823</v>
      </c>
      <c r="F105" s="3">
        <v>1621782131</v>
      </c>
      <c r="G105" s="8">
        <v>12.84</v>
      </c>
    </row>
    <row r="106" spans="1:7" x14ac:dyDescent="0.25">
      <c r="A106" s="4" t="s">
        <v>197</v>
      </c>
      <c r="B106" s="4">
        <v>2024</v>
      </c>
      <c r="C106" s="4">
        <v>4</v>
      </c>
      <c r="D106" s="4" t="s">
        <v>227</v>
      </c>
      <c r="E106" s="5">
        <v>259568449</v>
      </c>
      <c r="F106" s="5">
        <v>336614843</v>
      </c>
      <c r="G106" s="9">
        <v>6.16</v>
      </c>
    </row>
    <row r="107" spans="1:7" x14ac:dyDescent="0.25">
      <c r="A107" s="2" t="s">
        <v>197</v>
      </c>
      <c r="B107" s="2">
        <v>2024</v>
      </c>
      <c r="C107" s="2">
        <v>5</v>
      </c>
      <c r="D107" s="2" t="s">
        <v>226</v>
      </c>
      <c r="E107" s="3">
        <v>189676771</v>
      </c>
      <c r="F107" s="3">
        <v>141387576</v>
      </c>
      <c r="G107" s="8">
        <v>4.5</v>
      </c>
    </row>
    <row r="108" spans="1:7" x14ac:dyDescent="0.25">
      <c r="A108" s="4" t="s">
        <v>197</v>
      </c>
      <c r="B108" s="4">
        <v>2024</v>
      </c>
      <c r="C108" s="4">
        <v>6</v>
      </c>
      <c r="D108" s="4" t="s">
        <v>236</v>
      </c>
      <c r="E108" s="5">
        <v>79264970</v>
      </c>
      <c r="F108" s="5">
        <v>675151621</v>
      </c>
      <c r="G108" s="9">
        <v>1.88</v>
      </c>
    </row>
    <row r="109" spans="1:7" x14ac:dyDescent="0.25">
      <c r="A109" s="2" t="s">
        <v>197</v>
      </c>
      <c r="B109" s="2">
        <v>2024</v>
      </c>
      <c r="C109" s="2">
        <v>7</v>
      </c>
      <c r="D109" s="2" t="s">
        <v>224</v>
      </c>
      <c r="E109" s="3">
        <v>72772742</v>
      </c>
      <c r="F109" s="3">
        <v>67927689</v>
      </c>
      <c r="G109" s="8">
        <v>1.73</v>
      </c>
    </row>
    <row r="110" spans="1:7" x14ac:dyDescent="0.25">
      <c r="A110" s="4" t="s">
        <v>197</v>
      </c>
      <c r="B110" s="4">
        <v>2024</v>
      </c>
      <c r="C110" s="4">
        <v>8</v>
      </c>
      <c r="D110" s="4" t="s">
        <v>237</v>
      </c>
      <c r="E110" s="5">
        <v>55171527</v>
      </c>
      <c r="F110" s="5">
        <v>40920859</v>
      </c>
      <c r="G110" s="9">
        <v>1.31</v>
      </c>
    </row>
    <row r="111" spans="1:7" x14ac:dyDescent="0.25">
      <c r="A111" s="2" t="s">
        <v>197</v>
      </c>
      <c r="B111" s="2">
        <v>2024</v>
      </c>
      <c r="C111" s="2">
        <v>9</v>
      </c>
      <c r="D111" s="2" t="s">
        <v>231</v>
      </c>
      <c r="E111" s="3">
        <v>28054797</v>
      </c>
      <c r="F111" s="3">
        <v>48182620</v>
      </c>
      <c r="G111" s="8">
        <v>0.67</v>
      </c>
    </row>
    <row r="112" spans="1:7" x14ac:dyDescent="0.25">
      <c r="A112" s="4" t="s">
        <v>197</v>
      </c>
      <c r="B112" s="4">
        <v>2024</v>
      </c>
      <c r="C112" s="4">
        <v>10</v>
      </c>
      <c r="D112" s="4" t="s">
        <v>230</v>
      </c>
      <c r="E112" s="5">
        <v>10407156</v>
      </c>
      <c r="F112" s="5">
        <v>15703911</v>
      </c>
      <c r="G112" s="9">
        <v>0.25</v>
      </c>
    </row>
    <row r="113" spans="1:7" x14ac:dyDescent="0.25">
      <c r="A113" s="2" t="s">
        <v>197</v>
      </c>
      <c r="B113" s="2">
        <v>2025</v>
      </c>
      <c r="C113" s="2">
        <v>1</v>
      </c>
      <c r="D113" s="2" t="s">
        <v>223</v>
      </c>
      <c r="E113" s="3">
        <v>1425209293</v>
      </c>
      <c r="F113" s="3">
        <v>2191844373</v>
      </c>
      <c r="G113" s="8">
        <v>36.93</v>
      </c>
    </row>
    <row r="114" spans="1:7" x14ac:dyDescent="0.25">
      <c r="A114" s="4" t="s">
        <v>197</v>
      </c>
      <c r="B114" s="4">
        <v>2025</v>
      </c>
      <c r="C114" s="4">
        <v>2</v>
      </c>
      <c r="D114" s="4" t="s">
        <v>228</v>
      </c>
      <c r="E114" s="5">
        <v>1210325312</v>
      </c>
      <c r="F114" s="5">
        <v>1885081180</v>
      </c>
      <c r="G114" s="9">
        <v>31.36</v>
      </c>
    </row>
    <row r="115" spans="1:7" x14ac:dyDescent="0.25">
      <c r="A115" s="2" t="s">
        <v>197</v>
      </c>
      <c r="B115" s="2">
        <v>2025</v>
      </c>
      <c r="C115" s="2">
        <v>3</v>
      </c>
      <c r="D115" s="2" t="s">
        <v>221</v>
      </c>
      <c r="E115" s="3">
        <v>457456363</v>
      </c>
      <c r="F115" s="3">
        <v>958496686</v>
      </c>
      <c r="G115" s="8">
        <v>11.85</v>
      </c>
    </row>
    <row r="116" spans="1:7" x14ac:dyDescent="0.25">
      <c r="A116" s="4" t="s">
        <v>197</v>
      </c>
      <c r="B116" s="4">
        <v>2025</v>
      </c>
      <c r="C116" s="4">
        <v>4</v>
      </c>
      <c r="D116" s="4" t="s">
        <v>227</v>
      </c>
      <c r="E116" s="5">
        <v>284422460</v>
      </c>
      <c r="F116" s="5">
        <v>384694368</v>
      </c>
      <c r="G116" s="9">
        <v>7.37</v>
      </c>
    </row>
    <row r="117" spans="1:7" x14ac:dyDescent="0.25">
      <c r="A117" s="2" t="s">
        <v>197</v>
      </c>
      <c r="B117" s="2">
        <v>2025</v>
      </c>
      <c r="C117" s="2">
        <v>5</v>
      </c>
      <c r="D117" s="2" t="s">
        <v>226</v>
      </c>
      <c r="E117" s="3">
        <v>210028829</v>
      </c>
      <c r="F117" s="3">
        <v>160486744</v>
      </c>
      <c r="G117" s="8">
        <v>5.44</v>
      </c>
    </row>
    <row r="118" spans="1:7" x14ac:dyDescent="0.25">
      <c r="A118" s="4" t="s">
        <v>197</v>
      </c>
      <c r="B118" s="4">
        <v>2025</v>
      </c>
      <c r="C118" s="4">
        <v>6</v>
      </c>
      <c r="D118" s="4" t="s">
        <v>236</v>
      </c>
      <c r="E118" s="5">
        <v>74905096</v>
      </c>
      <c r="F118" s="5">
        <v>651799681</v>
      </c>
      <c r="G118" s="9">
        <v>1.94</v>
      </c>
    </row>
    <row r="119" spans="1:7" x14ac:dyDescent="0.25">
      <c r="A119" s="2" t="s">
        <v>197</v>
      </c>
      <c r="B119" s="2">
        <v>2025</v>
      </c>
      <c r="C119" s="2">
        <v>7</v>
      </c>
      <c r="D119" s="2" t="s">
        <v>237</v>
      </c>
      <c r="E119" s="3">
        <v>71507275</v>
      </c>
      <c r="F119" s="3">
        <v>46049697</v>
      </c>
      <c r="G119" s="8">
        <v>1.85</v>
      </c>
    </row>
    <row r="120" spans="1:7" x14ac:dyDescent="0.25">
      <c r="A120" s="4" t="s">
        <v>197</v>
      </c>
      <c r="B120" s="4">
        <v>2025</v>
      </c>
      <c r="C120" s="4">
        <v>8</v>
      </c>
      <c r="D120" s="4" t="s">
        <v>224</v>
      </c>
      <c r="E120" s="5">
        <v>67103646</v>
      </c>
      <c r="F120" s="5">
        <v>69342498</v>
      </c>
      <c r="G120" s="9">
        <v>1.74</v>
      </c>
    </row>
    <row r="121" spans="1:7" x14ac:dyDescent="0.25">
      <c r="A121" s="2" t="s">
        <v>197</v>
      </c>
      <c r="B121" s="2">
        <v>2025</v>
      </c>
      <c r="C121" s="2">
        <v>9</v>
      </c>
      <c r="D121" s="2" t="s">
        <v>231</v>
      </c>
      <c r="E121" s="3">
        <v>20717217</v>
      </c>
      <c r="F121" s="3">
        <v>37088683</v>
      </c>
      <c r="G121" s="8">
        <v>0.54</v>
      </c>
    </row>
    <row r="122" spans="1:7" x14ac:dyDescent="0.25">
      <c r="A122" s="4" t="s">
        <v>197</v>
      </c>
      <c r="B122" s="4">
        <v>2025</v>
      </c>
      <c r="C122" s="4">
        <v>10</v>
      </c>
      <c r="D122" s="4" t="s">
        <v>230</v>
      </c>
      <c r="E122" s="5">
        <v>12363404</v>
      </c>
      <c r="F122" s="5">
        <v>21110312</v>
      </c>
      <c r="G122" s="9">
        <v>0.32</v>
      </c>
    </row>
    <row r="123" spans="1:7" x14ac:dyDescent="0.25">
      <c r="A123" s="2" t="s">
        <v>136</v>
      </c>
      <c r="B123" s="2">
        <v>2023</v>
      </c>
      <c r="C123" s="2">
        <v>1</v>
      </c>
      <c r="D123" s="2" t="s">
        <v>223</v>
      </c>
      <c r="E123" s="3">
        <v>253109987</v>
      </c>
      <c r="F123" s="3">
        <v>100263501</v>
      </c>
      <c r="G123" s="8">
        <v>37.18</v>
      </c>
    </row>
    <row r="124" spans="1:7" x14ac:dyDescent="0.25">
      <c r="A124" s="4" t="s">
        <v>136</v>
      </c>
      <c r="B124" s="4">
        <v>2023</v>
      </c>
      <c r="C124" s="4">
        <v>2</v>
      </c>
      <c r="D124" s="4" t="s">
        <v>221</v>
      </c>
      <c r="E124" s="5">
        <v>206648365</v>
      </c>
      <c r="F124" s="5">
        <v>117280259</v>
      </c>
      <c r="G124" s="9">
        <v>30.35</v>
      </c>
    </row>
    <row r="125" spans="1:7" x14ac:dyDescent="0.25">
      <c r="A125" s="2" t="s">
        <v>136</v>
      </c>
      <c r="B125" s="2">
        <v>2023</v>
      </c>
      <c r="C125" s="2">
        <v>3</v>
      </c>
      <c r="D125" s="2" t="s">
        <v>228</v>
      </c>
      <c r="E125" s="3">
        <v>102383616</v>
      </c>
      <c r="F125" s="3">
        <v>68532110</v>
      </c>
      <c r="G125" s="8">
        <v>15.04</v>
      </c>
    </row>
    <row r="126" spans="1:7" x14ac:dyDescent="0.25">
      <c r="A126" s="4" t="s">
        <v>136</v>
      </c>
      <c r="B126" s="4">
        <v>2023</v>
      </c>
      <c r="C126" s="4">
        <v>4</v>
      </c>
      <c r="D126" s="4" t="s">
        <v>227</v>
      </c>
      <c r="E126" s="5">
        <v>92828474</v>
      </c>
      <c r="F126" s="5">
        <v>22958798</v>
      </c>
      <c r="G126" s="9">
        <v>13.64</v>
      </c>
    </row>
    <row r="127" spans="1:7" x14ac:dyDescent="0.25">
      <c r="A127" s="2" t="s">
        <v>136</v>
      </c>
      <c r="B127" s="2">
        <v>2023</v>
      </c>
      <c r="C127" s="2">
        <v>5</v>
      </c>
      <c r="D127" s="2" t="s">
        <v>231</v>
      </c>
      <c r="E127" s="3">
        <v>14736247</v>
      </c>
      <c r="F127" s="3">
        <v>6750804</v>
      </c>
      <c r="G127" s="8">
        <v>2.16</v>
      </c>
    </row>
    <row r="128" spans="1:7" x14ac:dyDescent="0.25">
      <c r="A128" s="4" t="s">
        <v>136</v>
      </c>
      <c r="B128" s="4">
        <v>2023</v>
      </c>
      <c r="C128" s="4">
        <v>6</v>
      </c>
      <c r="D128" s="4" t="s">
        <v>234</v>
      </c>
      <c r="E128" s="5">
        <v>4741301</v>
      </c>
      <c r="F128" s="5">
        <v>2322973</v>
      </c>
      <c r="G128" s="9">
        <v>0.7</v>
      </c>
    </row>
    <row r="129" spans="1:7" x14ac:dyDescent="0.25">
      <c r="A129" s="2" t="s">
        <v>136</v>
      </c>
      <c r="B129" s="2">
        <v>2023</v>
      </c>
      <c r="C129" s="2">
        <v>7</v>
      </c>
      <c r="D129" s="2" t="s">
        <v>238</v>
      </c>
      <c r="E129" s="3">
        <v>1594299</v>
      </c>
      <c r="F129" s="3">
        <v>160268</v>
      </c>
      <c r="G129" s="8">
        <v>0.23</v>
      </c>
    </row>
    <row r="130" spans="1:7" x14ac:dyDescent="0.25">
      <c r="A130" s="4" t="s">
        <v>136</v>
      </c>
      <c r="B130" s="4">
        <v>2023</v>
      </c>
      <c r="C130" s="4">
        <v>8</v>
      </c>
      <c r="D130" s="4" t="s">
        <v>233</v>
      </c>
      <c r="E130" s="5">
        <v>764731</v>
      </c>
      <c r="F130" s="5">
        <v>58316</v>
      </c>
      <c r="G130" s="9">
        <v>0.11</v>
      </c>
    </row>
    <row r="131" spans="1:7" x14ac:dyDescent="0.25">
      <c r="A131" s="2" t="s">
        <v>136</v>
      </c>
      <c r="B131" s="2">
        <v>2023</v>
      </c>
      <c r="C131" s="2">
        <v>9</v>
      </c>
      <c r="D131" s="2" t="s">
        <v>222</v>
      </c>
      <c r="E131" s="3">
        <v>739398</v>
      </c>
      <c r="F131" s="3">
        <v>277580</v>
      </c>
      <c r="G131" s="8">
        <v>0.11</v>
      </c>
    </row>
    <row r="132" spans="1:7" x14ac:dyDescent="0.25">
      <c r="A132" s="4" t="s">
        <v>136</v>
      </c>
      <c r="B132" s="4">
        <v>2023</v>
      </c>
      <c r="C132" s="4">
        <v>10</v>
      </c>
      <c r="D132" s="4" t="s">
        <v>226</v>
      </c>
      <c r="E132" s="5">
        <v>665483</v>
      </c>
      <c r="F132" s="5">
        <v>105939</v>
      </c>
      <c r="G132" s="9">
        <v>0.1</v>
      </c>
    </row>
    <row r="133" spans="1:7" x14ac:dyDescent="0.25">
      <c r="A133" s="2" t="s">
        <v>136</v>
      </c>
      <c r="B133" s="2">
        <v>2024</v>
      </c>
      <c r="C133" s="2">
        <v>1</v>
      </c>
      <c r="D133" s="2" t="s">
        <v>223</v>
      </c>
      <c r="E133" s="3">
        <v>251532828</v>
      </c>
      <c r="F133" s="3">
        <v>101967542</v>
      </c>
      <c r="G133" s="8">
        <v>35.56</v>
      </c>
    </row>
    <row r="134" spans="1:7" x14ac:dyDescent="0.25">
      <c r="A134" s="4" t="s">
        <v>136</v>
      </c>
      <c r="B134" s="4">
        <v>2024</v>
      </c>
      <c r="C134" s="4">
        <v>2</v>
      </c>
      <c r="D134" s="4" t="s">
        <v>221</v>
      </c>
      <c r="E134" s="5">
        <v>223901466</v>
      </c>
      <c r="F134" s="5">
        <v>133895428</v>
      </c>
      <c r="G134" s="9">
        <v>31.65</v>
      </c>
    </row>
    <row r="135" spans="1:7" x14ac:dyDescent="0.25">
      <c r="A135" s="2" t="s">
        <v>136</v>
      </c>
      <c r="B135" s="2">
        <v>2024</v>
      </c>
      <c r="C135" s="2">
        <v>3</v>
      </c>
      <c r="D135" s="2" t="s">
        <v>228</v>
      </c>
      <c r="E135" s="3">
        <v>114344799</v>
      </c>
      <c r="F135" s="3">
        <v>78209505</v>
      </c>
      <c r="G135" s="8">
        <v>16.170000000000002</v>
      </c>
    </row>
    <row r="136" spans="1:7" x14ac:dyDescent="0.25">
      <c r="A136" s="4" t="s">
        <v>136</v>
      </c>
      <c r="B136" s="4">
        <v>2024</v>
      </c>
      <c r="C136" s="4">
        <v>4</v>
      </c>
      <c r="D136" s="4" t="s">
        <v>227</v>
      </c>
      <c r="E136" s="5">
        <v>93896329</v>
      </c>
      <c r="F136" s="5">
        <v>19127864</v>
      </c>
      <c r="G136" s="9">
        <v>13.27</v>
      </c>
    </row>
    <row r="137" spans="1:7" x14ac:dyDescent="0.25">
      <c r="A137" s="2" t="s">
        <v>136</v>
      </c>
      <c r="B137" s="2">
        <v>2024</v>
      </c>
      <c r="C137" s="2">
        <v>5</v>
      </c>
      <c r="D137" s="2" t="s">
        <v>231</v>
      </c>
      <c r="E137" s="3">
        <v>12681677</v>
      </c>
      <c r="F137" s="3">
        <v>5652429</v>
      </c>
      <c r="G137" s="8">
        <v>1.79</v>
      </c>
    </row>
    <row r="138" spans="1:7" x14ac:dyDescent="0.25">
      <c r="A138" s="4" t="s">
        <v>136</v>
      </c>
      <c r="B138" s="4">
        <v>2024</v>
      </c>
      <c r="C138" s="4">
        <v>6</v>
      </c>
      <c r="D138" s="4" t="s">
        <v>234</v>
      </c>
      <c r="E138" s="5">
        <v>5361349</v>
      </c>
      <c r="F138" s="5">
        <v>2522683</v>
      </c>
      <c r="G138" s="9">
        <v>0.76</v>
      </c>
    </row>
    <row r="139" spans="1:7" x14ac:dyDescent="0.25">
      <c r="A139" s="2" t="s">
        <v>136</v>
      </c>
      <c r="B139" s="2">
        <v>2024</v>
      </c>
      <c r="C139" s="2">
        <v>7</v>
      </c>
      <c r="D139" s="2" t="s">
        <v>238</v>
      </c>
      <c r="E139" s="3">
        <v>2493064</v>
      </c>
      <c r="F139" s="3">
        <v>91282</v>
      </c>
      <c r="G139" s="8">
        <v>0.35</v>
      </c>
    </row>
    <row r="140" spans="1:7" x14ac:dyDescent="0.25">
      <c r="A140" s="4" t="s">
        <v>136</v>
      </c>
      <c r="B140" s="4">
        <v>2024</v>
      </c>
      <c r="C140" s="4">
        <v>8</v>
      </c>
      <c r="D140" s="4" t="s">
        <v>233</v>
      </c>
      <c r="E140" s="5">
        <v>785337</v>
      </c>
      <c r="F140" s="5">
        <v>66445</v>
      </c>
      <c r="G140" s="9">
        <v>0.11</v>
      </c>
    </row>
    <row r="141" spans="1:7" x14ac:dyDescent="0.25">
      <c r="A141" s="2" t="s">
        <v>136</v>
      </c>
      <c r="B141" s="2">
        <v>2024</v>
      </c>
      <c r="C141" s="2">
        <v>9</v>
      </c>
      <c r="D141" s="2" t="s">
        <v>239</v>
      </c>
      <c r="E141" s="3">
        <v>485404</v>
      </c>
      <c r="F141" s="3">
        <v>132918</v>
      </c>
      <c r="G141" s="8">
        <v>7.0000000000000007E-2</v>
      </c>
    </row>
    <row r="142" spans="1:7" x14ac:dyDescent="0.25">
      <c r="A142" s="4" t="s">
        <v>136</v>
      </c>
      <c r="B142" s="4">
        <v>2024</v>
      </c>
      <c r="C142" s="4">
        <v>10</v>
      </c>
      <c r="D142" s="4" t="s">
        <v>237</v>
      </c>
      <c r="E142" s="5">
        <v>439444</v>
      </c>
      <c r="F142" s="5">
        <v>117555</v>
      </c>
      <c r="G142" s="9">
        <v>0.06</v>
      </c>
    </row>
    <row r="143" spans="1:7" x14ac:dyDescent="0.25">
      <c r="A143" s="2" t="s">
        <v>136</v>
      </c>
      <c r="B143" s="2">
        <v>2025</v>
      </c>
      <c r="C143" s="2">
        <v>1</v>
      </c>
      <c r="D143" s="2" t="s">
        <v>223</v>
      </c>
      <c r="E143" s="3">
        <v>253193453</v>
      </c>
      <c r="F143" s="3">
        <v>105240699</v>
      </c>
      <c r="G143" s="8">
        <v>36.01</v>
      </c>
    </row>
    <row r="144" spans="1:7" x14ac:dyDescent="0.25">
      <c r="A144" s="4" t="s">
        <v>136</v>
      </c>
      <c r="B144" s="4">
        <v>2025</v>
      </c>
      <c r="C144" s="4">
        <v>2</v>
      </c>
      <c r="D144" s="4" t="s">
        <v>221</v>
      </c>
      <c r="E144" s="5">
        <v>210654809</v>
      </c>
      <c r="F144" s="5">
        <v>130948447</v>
      </c>
      <c r="G144" s="9">
        <v>29.96</v>
      </c>
    </row>
    <row r="145" spans="1:7" x14ac:dyDescent="0.25">
      <c r="A145" s="2" t="s">
        <v>136</v>
      </c>
      <c r="B145" s="2">
        <v>2025</v>
      </c>
      <c r="C145" s="2">
        <v>3</v>
      </c>
      <c r="D145" s="2" t="s">
        <v>228</v>
      </c>
      <c r="E145" s="3">
        <v>127158020</v>
      </c>
      <c r="F145" s="3">
        <v>85763078</v>
      </c>
      <c r="G145" s="8">
        <v>18.09</v>
      </c>
    </row>
    <row r="146" spans="1:7" x14ac:dyDescent="0.25">
      <c r="A146" s="4" t="s">
        <v>136</v>
      </c>
      <c r="B146" s="4">
        <v>2025</v>
      </c>
      <c r="C146" s="4">
        <v>4</v>
      </c>
      <c r="D146" s="4" t="s">
        <v>227</v>
      </c>
      <c r="E146" s="5">
        <v>93641856</v>
      </c>
      <c r="F146" s="5">
        <v>18436654</v>
      </c>
      <c r="G146" s="9">
        <v>13.32</v>
      </c>
    </row>
    <row r="147" spans="1:7" x14ac:dyDescent="0.25">
      <c r="A147" s="2" t="s">
        <v>136</v>
      </c>
      <c r="B147" s="2">
        <v>2025</v>
      </c>
      <c r="C147" s="2">
        <v>5</v>
      </c>
      <c r="D147" s="2" t="s">
        <v>231</v>
      </c>
      <c r="E147" s="3">
        <v>8548416</v>
      </c>
      <c r="F147" s="3">
        <v>3389768</v>
      </c>
      <c r="G147" s="8">
        <v>1.22</v>
      </c>
    </row>
    <row r="148" spans="1:7" x14ac:dyDescent="0.25">
      <c r="A148" s="4" t="s">
        <v>136</v>
      </c>
      <c r="B148" s="4">
        <v>2025</v>
      </c>
      <c r="C148" s="4">
        <v>6</v>
      </c>
      <c r="D148" s="4" t="s">
        <v>234</v>
      </c>
      <c r="E148" s="5">
        <v>5052830</v>
      </c>
      <c r="F148" s="5">
        <v>2449936</v>
      </c>
      <c r="G148" s="9">
        <v>0.72</v>
      </c>
    </row>
    <row r="149" spans="1:7" x14ac:dyDescent="0.25">
      <c r="A149" s="2" t="s">
        <v>136</v>
      </c>
      <c r="B149" s="2">
        <v>2025</v>
      </c>
      <c r="C149" s="2">
        <v>7</v>
      </c>
      <c r="D149" s="2" t="s">
        <v>238</v>
      </c>
      <c r="E149" s="3">
        <v>1627255</v>
      </c>
      <c r="F149" s="3">
        <v>52171</v>
      </c>
      <c r="G149" s="8">
        <v>0.23</v>
      </c>
    </row>
    <row r="150" spans="1:7" x14ac:dyDescent="0.25">
      <c r="A150" s="4" t="s">
        <v>136</v>
      </c>
      <c r="B150" s="4">
        <v>2025</v>
      </c>
      <c r="C150" s="4">
        <v>8</v>
      </c>
      <c r="D150" s="4" t="s">
        <v>239</v>
      </c>
      <c r="E150" s="5">
        <v>862340</v>
      </c>
      <c r="F150" s="5">
        <v>105019</v>
      </c>
      <c r="G150" s="9">
        <v>0.12</v>
      </c>
    </row>
    <row r="151" spans="1:7" x14ac:dyDescent="0.25">
      <c r="A151" s="2" t="s">
        <v>136</v>
      </c>
      <c r="B151" s="2">
        <v>2025</v>
      </c>
      <c r="C151" s="2">
        <v>9</v>
      </c>
      <c r="D151" s="2" t="s">
        <v>233</v>
      </c>
      <c r="E151" s="3">
        <v>564098</v>
      </c>
      <c r="F151" s="3">
        <v>33742</v>
      </c>
      <c r="G151" s="8">
        <v>0.08</v>
      </c>
    </row>
    <row r="152" spans="1:7" x14ac:dyDescent="0.25">
      <c r="A152" s="4" t="s">
        <v>136</v>
      </c>
      <c r="B152" s="4">
        <v>2025</v>
      </c>
      <c r="C152" s="4">
        <v>10</v>
      </c>
      <c r="D152" s="4" t="s">
        <v>240</v>
      </c>
      <c r="E152" s="5">
        <v>305910</v>
      </c>
      <c r="F152" s="5">
        <v>9507</v>
      </c>
      <c r="G152" s="9">
        <v>0.04</v>
      </c>
    </row>
    <row r="153" spans="1:7" x14ac:dyDescent="0.25">
      <c r="A153" s="2" t="s">
        <v>137</v>
      </c>
      <c r="B153" s="2">
        <v>2023</v>
      </c>
      <c r="C153" s="2">
        <v>1</v>
      </c>
      <c r="D153" s="2" t="s">
        <v>227</v>
      </c>
      <c r="E153" s="3">
        <v>2534580149</v>
      </c>
      <c r="F153" s="3">
        <v>5219822927</v>
      </c>
      <c r="G153" s="8">
        <v>24.47</v>
      </c>
    </row>
    <row r="154" spans="1:7" x14ac:dyDescent="0.25">
      <c r="A154" s="4" t="s">
        <v>137</v>
      </c>
      <c r="B154" s="4">
        <v>2023</v>
      </c>
      <c r="C154" s="4">
        <v>2</v>
      </c>
      <c r="D154" s="4" t="s">
        <v>232</v>
      </c>
      <c r="E154" s="5">
        <v>1497588834</v>
      </c>
      <c r="F154" s="5">
        <v>3979995622</v>
      </c>
      <c r="G154" s="9">
        <v>14.46</v>
      </c>
    </row>
    <row r="155" spans="1:7" x14ac:dyDescent="0.25">
      <c r="A155" s="2" t="s">
        <v>137</v>
      </c>
      <c r="B155" s="2">
        <v>2023</v>
      </c>
      <c r="C155" s="2">
        <v>3</v>
      </c>
      <c r="D155" s="2" t="s">
        <v>228</v>
      </c>
      <c r="E155" s="3">
        <v>1361248662</v>
      </c>
      <c r="F155" s="3">
        <v>1694227270</v>
      </c>
      <c r="G155" s="8">
        <v>13.14</v>
      </c>
    </row>
    <row r="156" spans="1:7" x14ac:dyDescent="0.25">
      <c r="A156" s="4" t="s">
        <v>137</v>
      </c>
      <c r="B156" s="4">
        <v>2023</v>
      </c>
      <c r="C156" s="4">
        <v>4</v>
      </c>
      <c r="D156" s="4" t="s">
        <v>233</v>
      </c>
      <c r="E156" s="5">
        <v>1247252562</v>
      </c>
      <c r="F156" s="5">
        <v>3003867309</v>
      </c>
      <c r="G156" s="9">
        <v>12.04</v>
      </c>
    </row>
    <row r="157" spans="1:7" x14ac:dyDescent="0.25">
      <c r="A157" s="2" t="s">
        <v>137</v>
      </c>
      <c r="B157" s="2">
        <v>2023</v>
      </c>
      <c r="C157" s="2">
        <v>5</v>
      </c>
      <c r="D157" s="2" t="s">
        <v>231</v>
      </c>
      <c r="E157" s="3">
        <v>1026477220</v>
      </c>
      <c r="F157" s="3">
        <v>1650085702</v>
      </c>
      <c r="G157" s="8">
        <v>9.91</v>
      </c>
    </row>
    <row r="158" spans="1:7" x14ac:dyDescent="0.25">
      <c r="A158" s="4" t="s">
        <v>137</v>
      </c>
      <c r="B158" s="4">
        <v>2023</v>
      </c>
      <c r="C158" s="4">
        <v>6</v>
      </c>
      <c r="D158" s="4" t="s">
        <v>221</v>
      </c>
      <c r="E158" s="5">
        <v>899495264</v>
      </c>
      <c r="F158" s="5">
        <v>1672108458</v>
      </c>
      <c r="G158" s="9">
        <v>8.68</v>
      </c>
    </row>
    <row r="159" spans="1:7" x14ac:dyDescent="0.25">
      <c r="A159" s="2" t="s">
        <v>137</v>
      </c>
      <c r="B159" s="2">
        <v>2023</v>
      </c>
      <c r="C159" s="2">
        <v>7</v>
      </c>
      <c r="D159" s="2" t="s">
        <v>234</v>
      </c>
      <c r="E159" s="3">
        <v>775812142</v>
      </c>
      <c r="F159" s="3">
        <v>2074719979</v>
      </c>
      <c r="G159" s="8">
        <v>7.49</v>
      </c>
    </row>
    <row r="160" spans="1:7" x14ac:dyDescent="0.25">
      <c r="A160" s="4" t="s">
        <v>137</v>
      </c>
      <c r="B160" s="4">
        <v>2023</v>
      </c>
      <c r="C160" s="4">
        <v>8</v>
      </c>
      <c r="D160" s="4" t="s">
        <v>235</v>
      </c>
      <c r="E160" s="5">
        <v>622339058</v>
      </c>
      <c r="F160" s="5">
        <v>1597970700</v>
      </c>
      <c r="G160" s="9">
        <v>6.01</v>
      </c>
    </row>
    <row r="161" spans="1:7" x14ac:dyDescent="0.25">
      <c r="A161" s="2" t="s">
        <v>137</v>
      </c>
      <c r="B161" s="2">
        <v>2023</v>
      </c>
      <c r="C161" s="2">
        <v>9</v>
      </c>
      <c r="D161" s="2" t="s">
        <v>223</v>
      </c>
      <c r="E161" s="3">
        <v>349294927</v>
      </c>
      <c r="F161" s="3">
        <v>413577872</v>
      </c>
      <c r="G161" s="8">
        <v>3.37</v>
      </c>
    </row>
    <row r="162" spans="1:7" x14ac:dyDescent="0.25">
      <c r="A162" s="4" t="s">
        <v>137</v>
      </c>
      <c r="B162" s="4">
        <v>2023</v>
      </c>
      <c r="C162" s="4">
        <v>10</v>
      </c>
      <c r="D162" s="4" t="s">
        <v>238</v>
      </c>
      <c r="E162" s="5">
        <v>39454134</v>
      </c>
      <c r="F162" s="5">
        <v>17679589</v>
      </c>
      <c r="G162" s="9">
        <v>0.38</v>
      </c>
    </row>
    <row r="163" spans="1:7" x14ac:dyDescent="0.25">
      <c r="A163" s="2" t="s">
        <v>137</v>
      </c>
      <c r="B163" s="2">
        <v>2024</v>
      </c>
      <c r="C163" s="2">
        <v>1</v>
      </c>
      <c r="D163" s="2" t="s">
        <v>227</v>
      </c>
      <c r="E163" s="3">
        <v>2934155274</v>
      </c>
      <c r="F163" s="3">
        <v>5172117873</v>
      </c>
      <c r="G163" s="8">
        <v>22.34</v>
      </c>
    </row>
    <row r="164" spans="1:7" x14ac:dyDescent="0.25">
      <c r="A164" s="4" t="s">
        <v>137</v>
      </c>
      <c r="B164" s="4">
        <v>2024</v>
      </c>
      <c r="C164" s="4">
        <v>2</v>
      </c>
      <c r="D164" s="4" t="s">
        <v>232</v>
      </c>
      <c r="E164" s="5">
        <v>2676064404</v>
      </c>
      <c r="F164" s="5">
        <v>4664829152</v>
      </c>
      <c r="G164" s="9">
        <v>20.37</v>
      </c>
    </row>
    <row r="165" spans="1:7" x14ac:dyDescent="0.25">
      <c r="A165" s="2" t="s">
        <v>137</v>
      </c>
      <c r="B165" s="2">
        <v>2024</v>
      </c>
      <c r="C165" s="2">
        <v>3</v>
      </c>
      <c r="D165" s="2" t="s">
        <v>233</v>
      </c>
      <c r="E165" s="3">
        <v>1506770584</v>
      </c>
      <c r="F165" s="3">
        <v>2996141031</v>
      </c>
      <c r="G165" s="8">
        <v>11.47</v>
      </c>
    </row>
    <row r="166" spans="1:7" x14ac:dyDescent="0.25">
      <c r="A166" s="4" t="s">
        <v>137</v>
      </c>
      <c r="B166" s="4">
        <v>2024</v>
      </c>
      <c r="C166" s="4">
        <v>4</v>
      </c>
      <c r="D166" s="4" t="s">
        <v>228</v>
      </c>
      <c r="E166" s="5">
        <v>1400421164</v>
      </c>
      <c r="F166" s="5">
        <v>1730810057</v>
      </c>
      <c r="G166" s="9">
        <v>10.66</v>
      </c>
    </row>
    <row r="167" spans="1:7" x14ac:dyDescent="0.25">
      <c r="A167" s="2" t="s">
        <v>137</v>
      </c>
      <c r="B167" s="2">
        <v>2024</v>
      </c>
      <c r="C167" s="2">
        <v>5</v>
      </c>
      <c r="D167" s="2" t="s">
        <v>234</v>
      </c>
      <c r="E167" s="3">
        <v>1095224833</v>
      </c>
      <c r="F167" s="3">
        <v>1983913054</v>
      </c>
      <c r="G167" s="8">
        <v>8.34</v>
      </c>
    </row>
    <row r="168" spans="1:7" x14ac:dyDescent="0.25">
      <c r="A168" s="4" t="s">
        <v>137</v>
      </c>
      <c r="B168" s="4">
        <v>2024</v>
      </c>
      <c r="C168" s="4">
        <v>6</v>
      </c>
      <c r="D168" s="4" t="s">
        <v>231</v>
      </c>
      <c r="E168" s="5">
        <v>1086630085</v>
      </c>
      <c r="F168" s="5">
        <v>1611611927</v>
      </c>
      <c r="G168" s="9">
        <v>8.27</v>
      </c>
    </row>
    <row r="169" spans="1:7" x14ac:dyDescent="0.25">
      <c r="A169" s="2" t="s">
        <v>137</v>
      </c>
      <c r="B169" s="2">
        <v>2024</v>
      </c>
      <c r="C169" s="2">
        <v>7</v>
      </c>
      <c r="D169" s="2" t="s">
        <v>221</v>
      </c>
      <c r="E169" s="3">
        <v>1036634003</v>
      </c>
      <c r="F169" s="3">
        <v>1825613933</v>
      </c>
      <c r="G169" s="8">
        <v>7.89</v>
      </c>
    </row>
    <row r="170" spans="1:7" x14ac:dyDescent="0.25">
      <c r="A170" s="4" t="s">
        <v>137</v>
      </c>
      <c r="B170" s="4">
        <v>2024</v>
      </c>
      <c r="C170" s="4">
        <v>8</v>
      </c>
      <c r="D170" s="4" t="s">
        <v>235</v>
      </c>
      <c r="E170" s="5">
        <v>940593226</v>
      </c>
      <c r="F170" s="5">
        <v>1675311428</v>
      </c>
      <c r="G170" s="9">
        <v>7.16</v>
      </c>
    </row>
    <row r="171" spans="1:7" x14ac:dyDescent="0.25">
      <c r="A171" s="2" t="s">
        <v>137</v>
      </c>
      <c r="B171" s="2">
        <v>2024</v>
      </c>
      <c r="C171" s="2">
        <v>9</v>
      </c>
      <c r="D171" s="2" t="s">
        <v>223</v>
      </c>
      <c r="E171" s="3">
        <v>330873864</v>
      </c>
      <c r="F171" s="3">
        <v>415948184</v>
      </c>
      <c r="G171" s="8">
        <v>2.52</v>
      </c>
    </row>
    <row r="172" spans="1:7" x14ac:dyDescent="0.25">
      <c r="A172" s="4" t="s">
        <v>137</v>
      </c>
      <c r="B172" s="4">
        <v>2024</v>
      </c>
      <c r="C172" s="4">
        <v>10</v>
      </c>
      <c r="D172" s="4" t="s">
        <v>240</v>
      </c>
      <c r="E172" s="5">
        <v>77267607</v>
      </c>
      <c r="F172" s="5">
        <v>149605403</v>
      </c>
      <c r="G172" s="9">
        <v>0.59</v>
      </c>
    </row>
    <row r="173" spans="1:7" x14ac:dyDescent="0.25">
      <c r="A173" s="2" t="s">
        <v>137</v>
      </c>
      <c r="B173" s="2">
        <v>2025</v>
      </c>
      <c r="C173" s="2">
        <v>1</v>
      </c>
      <c r="D173" s="2" t="s">
        <v>232</v>
      </c>
      <c r="E173" s="3">
        <v>3119500661</v>
      </c>
      <c r="F173" s="3">
        <v>6909552157</v>
      </c>
      <c r="G173" s="8">
        <v>24.64</v>
      </c>
    </row>
    <row r="174" spans="1:7" x14ac:dyDescent="0.25">
      <c r="A174" s="4" t="s">
        <v>137</v>
      </c>
      <c r="B174" s="4">
        <v>2025</v>
      </c>
      <c r="C174" s="4">
        <v>2</v>
      </c>
      <c r="D174" s="4" t="s">
        <v>227</v>
      </c>
      <c r="E174" s="5">
        <v>2778221600</v>
      </c>
      <c r="F174" s="5">
        <v>4903017241</v>
      </c>
      <c r="G174" s="9">
        <v>21.94</v>
      </c>
    </row>
    <row r="175" spans="1:7" x14ac:dyDescent="0.25">
      <c r="A175" s="2" t="s">
        <v>137</v>
      </c>
      <c r="B175" s="2">
        <v>2025</v>
      </c>
      <c r="C175" s="2">
        <v>3</v>
      </c>
      <c r="D175" s="2" t="s">
        <v>228</v>
      </c>
      <c r="E175" s="3">
        <v>1415406115</v>
      </c>
      <c r="F175" s="3">
        <v>1903338953</v>
      </c>
      <c r="G175" s="8">
        <v>11.18</v>
      </c>
    </row>
    <row r="176" spans="1:7" x14ac:dyDescent="0.25">
      <c r="A176" s="4" t="s">
        <v>137</v>
      </c>
      <c r="B176" s="4">
        <v>2025</v>
      </c>
      <c r="C176" s="4">
        <v>4</v>
      </c>
      <c r="D176" s="4" t="s">
        <v>233</v>
      </c>
      <c r="E176" s="5">
        <v>1352164767</v>
      </c>
      <c r="F176" s="5">
        <v>3098639687</v>
      </c>
      <c r="G176" s="9">
        <v>10.68</v>
      </c>
    </row>
    <row r="177" spans="1:7" x14ac:dyDescent="0.25">
      <c r="A177" s="2" t="s">
        <v>137</v>
      </c>
      <c r="B177" s="2">
        <v>2025</v>
      </c>
      <c r="C177" s="2">
        <v>5</v>
      </c>
      <c r="D177" s="2" t="s">
        <v>231</v>
      </c>
      <c r="E177" s="3">
        <v>1005586174</v>
      </c>
      <c r="F177" s="3">
        <v>1705016932</v>
      </c>
      <c r="G177" s="8">
        <v>7.94</v>
      </c>
    </row>
    <row r="178" spans="1:7" x14ac:dyDescent="0.25">
      <c r="A178" s="4" t="s">
        <v>137</v>
      </c>
      <c r="B178" s="4">
        <v>2025</v>
      </c>
      <c r="C178" s="4">
        <v>6</v>
      </c>
      <c r="D178" s="4" t="s">
        <v>221</v>
      </c>
      <c r="E178" s="5">
        <v>980512697</v>
      </c>
      <c r="F178" s="5">
        <v>2189182268</v>
      </c>
      <c r="G178" s="9">
        <v>7.75</v>
      </c>
    </row>
    <row r="179" spans="1:7" x14ac:dyDescent="0.25">
      <c r="A179" s="2" t="s">
        <v>137</v>
      </c>
      <c r="B179" s="2">
        <v>2025</v>
      </c>
      <c r="C179" s="2">
        <v>7</v>
      </c>
      <c r="D179" s="2" t="s">
        <v>234</v>
      </c>
      <c r="E179" s="3">
        <v>863440801</v>
      </c>
      <c r="F179" s="3">
        <v>1920670152</v>
      </c>
      <c r="G179" s="8">
        <v>6.82</v>
      </c>
    </row>
    <row r="180" spans="1:7" x14ac:dyDescent="0.25">
      <c r="A180" s="4" t="s">
        <v>137</v>
      </c>
      <c r="B180" s="4">
        <v>2025</v>
      </c>
      <c r="C180" s="4">
        <v>8</v>
      </c>
      <c r="D180" s="4" t="s">
        <v>235</v>
      </c>
      <c r="E180" s="5">
        <v>709758758</v>
      </c>
      <c r="F180" s="5">
        <v>1619897812</v>
      </c>
      <c r="G180" s="9">
        <v>5.61</v>
      </c>
    </row>
    <row r="181" spans="1:7" x14ac:dyDescent="0.25">
      <c r="A181" s="2" t="s">
        <v>137</v>
      </c>
      <c r="B181" s="2">
        <v>2025</v>
      </c>
      <c r="C181" s="2">
        <v>9</v>
      </c>
      <c r="D181" s="2" t="s">
        <v>223</v>
      </c>
      <c r="E181" s="3">
        <v>371136784</v>
      </c>
      <c r="F181" s="3">
        <v>474123755</v>
      </c>
      <c r="G181" s="8">
        <v>2.93</v>
      </c>
    </row>
    <row r="182" spans="1:7" x14ac:dyDescent="0.25">
      <c r="A182" s="4" t="s">
        <v>137</v>
      </c>
      <c r="B182" s="4">
        <v>2025</v>
      </c>
      <c r="C182" s="4">
        <v>10</v>
      </c>
      <c r="D182" s="4" t="s">
        <v>238</v>
      </c>
      <c r="E182" s="5">
        <v>48823552</v>
      </c>
      <c r="F182" s="5">
        <v>22411117</v>
      </c>
      <c r="G182" s="9">
        <v>0.39</v>
      </c>
    </row>
  </sheetData>
  <mergeCells count="1">
    <mergeCell ref="A1:G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257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38.7109375" customWidth="1"/>
    <col min="2" max="2" width="7.7109375" customWidth="1"/>
    <col min="3" max="4" width="14.7109375" customWidth="1"/>
    <col min="5" max="5" width="29.7109375" customWidth="1"/>
    <col min="6" max="8" width="17.7109375" customWidth="1"/>
    <col min="9" max="9" width="14.7109375" customWidth="1"/>
  </cols>
  <sheetData>
    <row r="1" spans="1:9" ht="20.100000000000001" customHeight="1" x14ac:dyDescent="0.25">
      <c r="A1" s="18" t="s">
        <v>257</v>
      </c>
      <c r="B1" s="18"/>
      <c r="C1" s="18"/>
      <c r="D1" s="18"/>
      <c r="E1" s="18"/>
      <c r="F1" s="18"/>
      <c r="G1" s="18"/>
      <c r="H1" s="18"/>
      <c r="I1" s="18"/>
    </row>
    <row r="2" spans="1:9" ht="38.1" customHeight="1" x14ac:dyDescent="0.25">
      <c r="A2" s="1" t="s">
        <v>17</v>
      </c>
      <c r="B2" s="1" t="s">
        <v>0</v>
      </c>
      <c r="C2" s="1" t="s">
        <v>199</v>
      </c>
      <c r="D2" s="1" t="s">
        <v>202</v>
      </c>
      <c r="E2" s="1" t="s">
        <v>122</v>
      </c>
      <c r="F2" s="1" t="s">
        <v>242</v>
      </c>
      <c r="G2" s="1" t="s">
        <v>243</v>
      </c>
      <c r="H2" s="1" t="s">
        <v>244</v>
      </c>
      <c r="I2" s="1" t="s">
        <v>208</v>
      </c>
    </row>
    <row r="3" spans="1:9" x14ac:dyDescent="0.25">
      <c r="A3" s="2" t="s">
        <v>30</v>
      </c>
      <c r="B3" s="2">
        <v>2024</v>
      </c>
      <c r="C3" s="3">
        <v>155443105</v>
      </c>
      <c r="D3" s="3">
        <v>44560707</v>
      </c>
      <c r="E3" s="2" t="s">
        <v>134</v>
      </c>
      <c r="F3" s="8">
        <v>28.7</v>
      </c>
      <c r="G3" s="6">
        <v>17.100000000000001</v>
      </c>
      <c r="H3" s="6">
        <v>0.7</v>
      </c>
      <c r="I3" s="6">
        <v>4</v>
      </c>
    </row>
    <row r="4" spans="1:9" x14ac:dyDescent="0.25">
      <c r="A4" s="4" t="s">
        <v>30</v>
      </c>
      <c r="B4" s="4">
        <v>2025</v>
      </c>
      <c r="C4" s="5">
        <v>133885860</v>
      </c>
      <c r="D4" s="5">
        <v>43271868</v>
      </c>
      <c r="E4" s="4" t="s">
        <v>134</v>
      </c>
      <c r="F4" s="9">
        <v>32.299999999999997</v>
      </c>
      <c r="G4" s="7">
        <v>-2.9</v>
      </c>
      <c r="H4" s="7">
        <v>-13.9</v>
      </c>
      <c r="I4" s="6">
        <v>3.6</v>
      </c>
    </row>
    <row r="5" spans="1:9" x14ac:dyDescent="0.25">
      <c r="A5" s="2" t="s">
        <v>30</v>
      </c>
      <c r="B5" s="2">
        <v>2023</v>
      </c>
      <c r="C5" s="3">
        <v>154311511</v>
      </c>
      <c r="D5" s="3">
        <v>38059989</v>
      </c>
      <c r="E5" s="2" t="s">
        <v>134</v>
      </c>
      <c r="F5" s="8">
        <v>24.7</v>
      </c>
      <c r="G5" s="2"/>
      <c r="H5" s="2"/>
      <c r="I5" s="2"/>
    </row>
    <row r="6" spans="1:9" x14ac:dyDescent="0.25">
      <c r="A6" s="4" t="s">
        <v>109</v>
      </c>
      <c r="B6" s="4">
        <v>2024</v>
      </c>
      <c r="C6" s="5">
        <v>30102974</v>
      </c>
      <c r="D6" s="5">
        <v>5927827</v>
      </c>
      <c r="E6" s="4" t="s">
        <v>134</v>
      </c>
      <c r="F6" s="9">
        <v>19.7</v>
      </c>
      <c r="G6" s="6">
        <v>57.1</v>
      </c>
      <c r="H6" s="6">
        <v>17.2</v>
      </c>
      <c r="I6" s="6">
        <v>5</v>
      </c>
    </row>
    <row r="7" spans="1:9" x14ac:dyDescent="0.25">
      <c r="A7" s="2" t="s">
        <v>109</v>
      </c>
      <c r="B7" s="2">
        <v>2025</v>
      </c>
      <c r="C7" s="3">
        <v>30912748</v>
      </c>
      <c r="D7" s="3">
        <v>5619158</v>
      </c>
      <c r="E7" s="2" t="s">
        <v>134</v>
      </c>
      <c r="F7" s="8">
        <v>18.2</v>
      </c>
      <c r="G7" s="7">
        <v>-5.2</v>
      </c>
      <c r="H7" s="6">
        <v>2.7</v>
      </c>
      <c r="I7" s="7">
        <v>-1.5</v>
      </c>
    </row>
    <row r="8" spans="1:9" x14ac:dyDescent="0.25">
      <c r="A8" s="4" t="s">
        <v>109</v>
      </c>
      <c r="B8" s="4">
        <v>2023</v>
      </c>
      <c r="C8" s="5">
        <v>25693852</v>
      </c>
      <c r="D8" s="5">
        <v>3774108</v>
      </c>
      <c r="E8" s="4" t="s">
        <v>134</v>
      </c>
      <c r="F8" s="9">
        <v>14.7</v>
      </c>
      <c r="G8" s="4"/>
      <c r="H8" s="4"/>
      <c r="I8" s="4"/>
    </row>
    <row r="9" spans="1:9" x14ac:dyDescent="0.25">
      <c r="A9" s="2" t="s">
        <v>245</v>
      </c>
      <c r="B9" s="2">
        <v>2023</v>
      </c>
      <c r="C9" s="3">
        <v>3448093</v>
      </c>
      <c r="D9" s="3">
        <v>197684</v>
      </c>
      <c r="E9" s="2" t="s">
        <v>134</v>
      </c>
      <c r="F9" s="8">
        <v>5.7</v>
      </c>
      <c r="G9" s="2"/>
      <c r="H9" s="2"/>
      <c r="I9" s="2"/>
    </row>
    <row r="10" spans="1:9" x14ac:dyDescent="0.25">
      <c r="A10" s="4" t="s">
        <v>245</v>
      </c>
      <c r="B10" s="4">
        <v>2024</v>
      </c>
      <c r="C10" s="5">
        <v>3979834</v>
      </c>
      <c r="D10" s="5">
        <v>187360</v>
      </c>
      <c r="E10" s="4" t="s">
        <v>134</v>
      </c>
      <c r="F10" s="9">
        <v>4.7</v>
      </c>
      <c r="G10" s="7">
        <v>-5.2</v>
      </c>
      <c r="H10" s="6">
        <v>15.4</v>
      </c>
      <c r="I10" s="7">
        <v>-1</v>
      </c>
    </row>
    <row r="11" spans="1:9" x14ac:dyDescent="0.25">
      <c r="A11" s="2" t="s">
        <v>245</v>
      </c>
      <c r="B11" s="2">
        <v>2025</v>
      </c>
      <c r="C11" s="3">
        <v>3994060</v>
      </c>
      <c r="D11" s="3">
        <v>118031</v>
      </c>
      <c r="E11" s="2" t="s">
        <v>134</v>
      </c>
      <c r="F11" s="8">
        <v>3</v>
      </c>
      <c r="G11" s="7">
        <v>-37</v>
      </c>
      <c r="H11" s="6">
        <v>0.4</v>
      </c>
      <c r="I11" s="7">
        <v>-1.7</v>
      </c>
    </row>
    <row r="12" spans="1:9" x14ac:dyDescent="0.25">
      <c r="A12" s="4" t="s">
        <v>246</v>
      </c>
      <c r="B12" s="4">
        <v>2023</v>
      </c>
      <c r="C12" s="5">
        <v>28652310</v>
      </c>
      <c r="D12" s="5">
        <v>87451</v>
      </c>
      <c r="E12" s="4" t="s">
        <v>134</v>
      </c>
      <c r="F12" s="9">
        <v>0.3</v>
      </c>
      <c r="G12" s="4"/>
      <c r="H12" s="4"/>
      <c r="I12" s="4"/>
    </row>
    <row r="13" spans="1:9" x14ac:dyDescent="0.25">
      <c r="A13" s="2" t="s">
        <v>246</v>
      </c>
      <c r="B13" s="2">
        <v>2024</v>
      </c>
      <c r="C13" s="3">
        <v>32782561</v>
      </c>
      <c r="D13" s="3">
        <v>28099</v>
      </c>
      <c r="E13" s="2" t="s">
        <v>134</v>
      </c>
      <c r="F13" s="8">
        <v>0.1</v>
      </c>
      <c r="G13" s="7">
        <v>-67.900000000000006</v>
      </c>
      <c r="H13" s="6">
        <v>14.4</v>
      </c>
      <c r="I13" s="7">
        <v>-0.2</v>
      </c>
    </row>
    <row r="14" spans="1:9" x14ac:dyDescent="0.25">
      <c r="A14" s="4" t="s">
        <v>246</v>
      </c>
      <c r="B14" s="4">
        <v>2025</v>
      </c>
      <c r="C14" s="5">
        <v>29052254</v>
      </c>
      <c r="D14" s="5">
        <v>12567</v>
      </c>
      <c r="E14" s="4" t="s">
        <v>134</v>
      </c>
      <c r="F14" s="9">
        <v>0</v>
      </c>
      <c r="G14" s="7">
        <v>-55.3</v>
      </c>
      <c r="H14" s="7">
        <v>-11.4</v>
      </c>
      <c r="I14" s="7">
        <v>-0.1</v>
      </c>
    </row>
    <row r="15" spans="1:9" x14ac:dyDescent="0.25">
      <c r="A15" s="2" t="s">
        <v>31</v>
      </c>
      <c r="B15" s="2">
        <v>2024</v>
      </c>
      <c r="C15" s="3">
        <v>331989</v>
      </c>
      <c r="D15" s="3">
        <v>10095</v>
      </c>
      <c r="E15" s="2" t="s">
        <v>134</v>
      </c>
      <c r="F15" s="8">
        <v>3</v>
      </c>
      <c r="G15" s="6">
        <v>2</v>
      </c>
      <c r="H15" s="6">
        <v>2254.4</v>
      </c>
      <c r="I15" s="7">
        <v>-67.2</v>
      </c>
    </row>
    <row r="16" spans="1:9" x14ac:dyDescent="0.25">
      <c r="A16" s="4" t="s">
        <v>31</v>
      </c>
      <c r="B16" s="4">
        <v>2023</v>
      </c>
      <c r="C16" s="5">
        <v>14101</v>
      </c>
      <c r="D16" s="5">
        <v>9893</v>
      </c>
      <c r="E16" s="4" t="s">
        <v>134</v>
      </c>
      <c r="F16" s="9">
        <v>70.2</v>
      </c>
      <c r="G16" s="4"/>
      <c r="H16" s="4"/>
      <c r="I16" s="4"/>
    </row>
    <row r="17" spans="1:9" x14ac:dyDescent="0.25">
      <c r="A17" s="2" t="s">
        <v>247</v>
      </c>
      <c r="B17" s="2">
        <v>2024</v>
      </c>
      <c r="C17" s="3">
        <v>39655</v>
      </c>
      <c r="D17" s="3">
        <v>4900</v>
      </c>
      <c r="E17" s="2" t="s">
        <v>134</v>
      </c>
      <c r="F17" s="8">
        <v>12.4</v>
      </c>
      <c r="G17" s="6">
        <v>27122.2</v>
      </c>
      <c r="H17" s="6">
        <v>464</v>
      </c>
      <c r="I17" s="6">
        <v>12.1</v>
      </c>
    </row>
    <row r="18" spans="1:9" x14ac:dyDescent="0.25">
      <c r="A18" s="4" t="s">
        <v>247</v>
      </c>
      <c r="B18" s="4">
        <v>2023</v>
      </c>
      <c r="C18" s="5">
        <v>7031</v>
      </c>
      <c r="D18" s="5">
        <v>18</v>
      </c>
      <c r="E18" s="4" t="s">
        <v>134</v>
      </c>
      <c r="F18" s="9">
        <v>0.3</v>
      </c>
      <c r="G18" s="4"/>
      <c r="H18" s="4"/>
      <c r="I18" s="4"/>
    </row>
    <row r="19" spans="1:9" x14ac:dyDescent="0.25">
      <c r="A19" s="2" t="s">
        <v>248</v>
      </c>
      <c r="B19" s="2">
        <v>2023</v>
      </c>
      <c r="C19" s="3">
        <v>7006916</v>
      </c>
      <c r="D19" s="3">
        <v>10</v>
      </c>
      <c r="E19" s="2" t="s">
        <v>134</v>
      </c>
      <c r="F19" s="8">
        <v>0</v>
      </c>
      <c r="G19" s="2"/>
      <c r="H19" s="2"/>
      <c r="I19" s="2"/>
    </row>
    <row r="20" spans="1:9" x14ac:dyDescent="0.25">
      <c r="A20" s="4" t="s">
        <v>247</v>
      </c>
      <c r="B20" s="4">
        <v>2025</v>
      </c>
      <c r="C20" s="5">
        <v>25275</v>
      </c>
      <c r="D20" s="5">
        <v>8</v>
      </c>
      <c r="E20" s="4" t="s">
        <v>134</v>
      </c>
      <c r="F20" s="9">
        <v>0</v>
      </c>
      <c r="G20" s="7">
        <v>-99.8</v>
      </c>
      <c r="H20" s="7">
        <v>-36.299999999999997</v>
      </c>
      <c r="I20" s="7">
        <v>-12.4</v>
      </c>
    </row>
    <row r="21" spans="1:9" x14ac:dyDescent="0.25">
      <c r="A21" s="2" t="s">
        <v>249</v>
      </c>
      <c r="B21" s="2">
        <v>2023</v>
      </c>
      <c r="C21" s="3">
        <v>83529954</v>
      </c>
      <c r="D21" s="3">
        <v>0</v>
      </c>
      <c r="E21" s="2" t="s">
        <v>134</v>
      </c>
      <c r="F21" s="8">
        <v>0</v>
      </c>
      <c r="G21" s="2"/>
      <c r="H21" s="2"/>
      <c r="I21" s="2"/>
    </row>
    <row r="22" spans="1:9" x14ac:dyDescent="0.25">
      <c r="A22" s="4" t="s">
        <v>249</v>
      </c>
      <c r="B22" s="4">
        <v>2024</v>
      </c>
      <c r="C22" s="5">
        <v>108047082</v>
      </c>
      <c r="D22" s="5">
        <v>0</v>
      </c>
      <c r="E22" s="4" t="s">
        <v>134</v>
      </c>
      <c r="F22" s="9">
        <v>0</v>
      </c>
      <c r="G22" s="4"/>
      <c r="H22" s="6">
        <v>29.4</v>
      </c>
      <c r="I22" s="9">
        <v>0</v>
      </c>
    </row>
    <row r="23" spans="1:9" x14ac:dyDescent="0.25">
      <c r="A23" s="2" t="s">
        <v>249</v>
      </c>
      <c r="B23" s="2">
        <v>2025</v>
      </c>
      <c r="C23" s="3">
        <v>142537259</v>
      </c>
      <c r="D23" s="3">
        <v>0</v>
      </c>
      <c r="E23" s="2" t="s">
        <v>134</v>
      </c>
      <c r="F23" s="8">
        <v>0</v>
      </c>
      <c r="G23" s="2"/>
      <c r="H23" s="6">
        <v>31.9</v>
      </c>
      <c r="I23" s="9">
        <v>0</v>
      </c>
    </row>
    <row r="24" spans="1:9" x14ac:dyDescent="0.25">
      <c r="A24" s="4" t="s">
        <v>248</v>
      </c>
      <c r="B24" s="4">
        <v>2024</v>
      </c>
      <c r="C24" s="5">
        <v>13281710</v>
      </c>
      <c r="D24" s="5">
        <v>0</v>
      </c>
      <c r="E24" s="4" t="s">
        <v>134</v>
      </c>
      <c r="F24" s="9">
        <v>0</v>
      </c>
      <c r="G24" s="7">
        <v>-100</v>
      </c>
      <c r="H24" s="6">
        <v>89.6</v>
      </c>
      <c r="I24" s="9">
        <v>0</v>
      </c>
    </row>
    <row r="25" spans="1:9" x14ac:dyDescent="0.25">
      <c r="A25" s="2" t="s">
        <v>248</v>
      </c>
      <c r="B25" s="2">
        <v>2025</v>
      </c>
      <c r="C25" s="3">
        <v>11333252</v>
      </c>
      <c r="D25" s="3">
        <v>0</v>
      </c>
      <c r="E25" s="2" t="s">
        <v>134</v>
      </c>
      <c r="F25" s="8">
        <v>0</v>
      </c>
      <c r="G25" s="2"/>
      <c r="H25" s="7">
        <v>-14.7</v>
      </c>
      <c r="I25" s="9">
        <v>0</v>
      </c>
    </row>
    <row r="26" spans="1:9" x14ac:dyDescent="0.25">
      <c r="A26" s="4" t="s">
        <v>31</v>
      </c>
      <c r="B26" s="4">
        <v>2025</v>
      </c>
      <c r="C26" s="5">
        <v>166608</v>
      </c>
      <c r="D26" s="5">
        <v>0</v>
      </c>
      <c r="E26" s="4" t="s">
        <v>134</v>
      </c>
      <c r="F26" s="9">
        <v>0</v>
      </c>
      <c r="G26" s="7">
        <v>-100</v>
      </c>
      <c r="H26" s="7">
        <v>-49.8</v>
      </c>
      <c r="I26" s="7">
        <v>-3</v>
      </c>
    </row>
    <row r="27" spans="1:9" x14ac:dyDescent="0.25">
      <c r="A27" s="2" t="s">
        <v>22</v>
      </c>
      <c r="B27" s="2">
        <v>2025</v>
      </c>
      <c r="C27" s="3">
        <v>801134919</v>
      </c>
      <c r="D27" s="3">
        <v>367778763</v>
      </c>
      <c r="E27" s="2" t="s">
        <v>196</v>
      </c>
      <c r="F27" s="8">
        <v>45.9</v>
      </c>
      <c r="G27" s="6">
        <v>8</v>
      </c>
      <c r="H27" s="6">
        <v>5</v>
      </c>
      <c r="I27" s="6">
        <v>1.3</v>
      </c>
    </row>
    <row r="28" spans="1:9" x14ac:dyDescent="0.25">
      <c r="A28" s="4" t="s">
        <v>22</v>
      </c>
      <c r="B28" s="4">
        <v>2024</v>
      </c>
      <c r="C28" s="5">
        <v>763068100</v>
      </c>
      <c r="D28" s="5">
        <v>340657017</v>
      </c>
      <c r="E28" s="4" t="s">
        <v>196</v>
      </c>
      <c r="F28" s="9">
        <v>44.6</v>
      </c>
      <c r="G28" s="6">
        <v>9.4</v>
      </c>
      <c r="H28" s="6">
        <v>0.1</v>
      </c>
      <c r="I28" s="6">
        <v>3.8</v>
      </c>
    </row>
    <row r="29" spans="1:9" x14ac:dyDescent="0.25">
      <c r="A29" s="2" t="s">
        <v>23</v>
      </c>
      <c r="B29" s="2">
        <v>2024</v>
      </c>
      <c r="C29" s="3">
        <v>458823080</v>
      </c>
      <c r="D29" s="3">
        <v>331417218</v>
      </c>
      <c r="E29" s="2" t="s">
        <v>196</v>
      </c>
      <c r="F29" s="8">
        <v>72.2</v>
      </c>
      <c r="G29" s="6">
        <v>12.9</v>
      </c>
      <c r="H29" s="6">
        <v>7.9</v>
      </c>
      <c r="I29" s="6">
        <v>3.2</v>
      </c>
    </row>
    <row r="30" spans="1:9" x14ac:dyDescent="0.25">
      <c r="A30" s="4" t="s">
        <v>22</v>
      </c>
      <c r="B30" s="4">
        <v>2023</v>
      </c>
      <c r="C30" s="5">
        <v>762239231</v>
      </c>
      <c r="D30" s="5">
        <v>311299909</v>
      </c>
      <c r="E30" s="4" t="s">
        <v>196</v>
      </c>
      <c r="F30" s="9">
        <v>40.799999999999997</v>
      </c>
      <c r="G30" s="4"/>
      <c r="H30" s="4"/>
      <c r="I30" s="4"/>
    </row>
    <row r="31" spans="1:9" x14ac:dyDescent="0.25">
      <c r="A31" s="2" t="s">
        <v>23</v>
      </c>
      <c r="B31" s="2">
        <v>2023</v>
      </c>
      <c r="C31" s="3">
        <v>425061339</v>
      </c>
      <c r="D31" s="3">
        <v>293467151</v>
      </c>
      <c r="E31" s="2" t="s">
        <v>196</v>
      </c>
      <c r="F31" s="8">
        <v>69</v>
      </c>
      <c r="G31" s="2"/>
      <c r="H31" s="2"/>
      <c r="I31" s="2"/>
    </row>
    <row r="32" spans="1:9" x14ac:dyDescent="0.25">
      <c r="A32" s="4" t="s">
        <v>23</v>
      </c>
      <c r="B32" s="4">
        <v>2025</v>
      </c>
      <c r="C32" s="5">
        <v>338621568</v>
      </c>
      <c r="D32" s="5">
        <v>254412297</v>
      </c>
      <c r="E32" s="4" t="s">
        <v>196</v>
      </c>
      <c r="F32" s="9">
        <v>75.099999999999994</v>
      </c>
      <c r="G32" s="7">
        <v>-23.2</v>
      </c>
      <c r="H32" s="7">
        <v>-26.2</v>
      </c>
      <c r="I32" s="6">
        <v>2.9</v>
      </c>
    </row>
    <row r="33" spans="1:9" x14ac:dyDescent="0.25">
      <c r="A33" s="2" t="s">
        <v>25</v>
      </c>
      <c r="B33" s="2">
        <v>2024</v>
      </c>
      <c r="C33" s="3">
        <v>837232655</v>
      </c>
      <c r="D33" s="3">
        <v>253476658</v>
      </c>
      <c r="E33" s="2" t="s">
        <v>196</v>
      </c>
      <c r="F33" s="8">
        <v>30.3</v>
      </c>
      <c r="G33" s="6">
        <v>18.899999999999999</v>
      </c>
      <c r="H33" s="6">
        <v>20.399999999999999</v>
      </c>
      <c r="I33" s="7">
        <v>-0.4</v>
      </c>
    </row>
    <row r="34" spans="1:9" x14ac:dyDescent="0.25">
      <c r="A34" s="4" t="s">
        <v>24</v>
      </c>
      <c r="B34" s="4">
        <v>2023</v>
      </c>
      <c r="C34" s="5">
        <v>646065583</v>
      </c>
      <c r="D34" s="5">
        <v>241818630</v>
      </c>
      <c r="E34" s="4" t="s">
        <v>196</v>
      </c>
      <c r="F34" s="9">
        <v>37.4</v>
      </c>
      <c r="G34" s="4"/>
      <c r="H34" s="4"/>
      <c r="I34" s="4"/>
    </row>
    <row r="35" spans="1:9" x14ac:dyDescent="0.25">
      <c r="A35" s="2" t="s">
        <v>25</v>
      </c>
      <c r="B35" s="2">
        <v>2025</v>
      </c>
      <c r="C35" s="3">
        <v>769784007</v>
      </c>
      <c r="D35" s="3">
        <v>240007295</v>
      </c>
      <c r="E35" s="2" t="s">
        <v>196</v>
      </c>
      <c r="F35" s="8">
        <v>31.2</v>
      </c>
      <c r="G35" s="7">
        <v>-5.3</v>
      </c>
      <c r="H35" s="7">
        <v>-8.1</v>
      </c>
      <c r="I35" s="6">
        <v>0.9</v>
      </c>
    </row>
    <row r="36" spans="1:9" x14ac:dyDescent="0.25">
      <c r="A36" s="4" t="s">
        <v>24</v>
      </c>
      <c r="B36" s="4">
        <v>2025</v>
      </c>
      <c r="C36" s="5">
        <v>666477199</v>
      </c>
      <c r="D36" s="5">
        <v>239887000</v>
      </c>
      <c r="E36" s="4" t="s">
        <v>196</v>
      </c>
      <c r="F36" s="9">
        <v>36</v>
      </c>
      <c r="G36" s="6">
        <v>0.2</v>
      </c>
      <c r="H36" s="7">
        <v>-0.9</v>
      </c>
      <c r="I36" s="6">
        <v>0.4</v>
      </c>
    </row>
    <row r="37" spans="1:9" x14ac:dyDescent="0.25">
      <c r="A37" s="2" t="s">
        <v>24</v>
      </c>
      <c r="B37" s="2">
        <v>2024</v>
      </c>
      <c r="C37" s="3">
        <v>672817490</v>
      </c>
      <c r="D37" s="3">
        <v>239364218</v>
      </c>
      <c r="E37" s="2" t="s">
        <v>196</v>
      </c>
      <c r="F37" s="8">
        <v>35.6</v>
      </c>
      <c r="G37" s="7">
        <v>-1</v>
      </c>
      <c r="H37" s="6">
        <v>4.0999999999999996</v>
      </c>
      <c r="I37" s="7">
        <v>-1.8</v>
      </c>
    </row>
    <row r="38" spans="1:9" x14ac:dyDescent="0.25">
      <c r="A38" s="4" t="s">
        <v>26</v>
      </c>
      <c r="B38" s="4">
        <v>2025</v>
      </c>
      <c r="C38" s="5">
        <v>469945163</v>
      </c>
      <c r="D38" s="5">
        <v>215572928</v>
      </c>
      <c r="E38" s="4" t="s">
        <v>196</v>
      </c>
      <c r="F38" s="9">
        <v>45.9</v>
      </c>
      <c r="G38" s="6">
        <v>19.5</v>
      </c>
      <c r="H38" s="6">
        <v>16.2</v>
      </c>
      <c r="I38" s="6">
        <v>1.3</v>
      </c>
    </row>
    <row r="39" spans="1:9" x14ac:dyDescent="0.25">
      <c r="A39" s="2" t="s">
        <v>25</v>
      </c>
      <c r="B39" s="2">
        <v>2023</v>
      </c>
      <c r="C39" s="3">
        <v>695280937</v>
      </c>
      <c r="D39" s="3">
        <v>213167588</v>
      </c>
      <c r="E39" s="2" t="s">
        <v>196</v>
      </c>
      <c r="F39" s="8">
        <v>30.7</v>
      </c>
      <c r="G39" s="2"/>
      <c r="H39" s="2"/>
      <c r="I39" s="2"/>
    </row>
    <row r="40" spans="1:9" x14ac:dyDescent="0.25">
      <c r="A40" s="4" t="s">
        <v>26</v>
      </c>
      <c r="B40" s="4">
        <v>2023</v>
      </c>
      <c r="C40" s="5">
        <v>352844235</v>
      </c>
      <c r="D40" s="5">
        <v>185438423</v>
      </c>
      <c r="E40" s="4" t="s">
        <v>196</v>
      </c>
      <c r="F40" s="9">
        <v>52.6</v>
      </c>
      <c r="G40" s="4"/>
      <c r="H40" s="4"/>
      <c r="I40" s="4"/>
    </row>
    <row r="41" spans="1:9" x14ac:dyDescent="0.25">
      <c r="A41" s="2" t="s">
        <v>26</v>
      </c>
      <c r="B41" s="2">
        <v>2024</v>
      </c>
      <c r="C41" s="3">
        <v>404342667</v>
      </c>
      <c r="D41" s="3">
        <v>180429346</v>
      </c>
      <c r="E41" s="2" t="s">
        <v>196</v>
      </c>
      <c r="F41" s="8">
        <v>44.6</v>
      </c>
      <c r="G41" s="7">
        <v>-2.7</v>
      </c>
      <c r="H41" s="6">
        <v>14.6</v>
      </c>
      <c r="I41" s="7">
        <v>-8</v>
      </c>
    </row>
    <row r="42" spans="1:9" x14ac:dyDescent="0.25">
      <c r="A42" s="4" t="s">
        <v>27</v>
      </c>
      <c r="B42" s="4">
        <v>2024</v>
      </c>
      <c r="C42" s="5">
        <v>621114264</v>
      </c>
      <c r="D42" s="5">
        <v>129425135</v>
      </c>
      <c r="E42" s="4" t="s">
        <v>196</v>
      </c>
      <c r="F42" s="9">
        <v>20.8</v>
      </c>
      <c r="G42" s="6">
        <v>22.2</v>
      </c>
      <c r="H42" s="6">
        <v>0.6</v>
      </c>
      <c r="I42" s="6">
        <v>3.7</v>
      </c>
    </row>
    <row r="43" spans="1:9" x14ac:dyDescent="0.25">
      <c r="A43" s="2" t="s">
        <v>27</v>
      </c>
      <c r="B43" s="2">
        <v>2023</v>
      </c>
      <c r="C43" s="3">
        <v>617711038</v>
      </c>
      <c r="D43" s="3">
        <v>105893194</v>
      </c>
      <c r="E43" s="2" t="s">
        <v>196</v>
      </c>
      <c r="F43" s="8">
        <v>17.100000000000001</v>
      </c>
      <c r="G43" s="2"/>
      <c r="H43" s="2"/>
      <c r="I43" s="2"/>
    </row>
    <row r="44" spans="1:9" x14ac:dyDescent="0.25">
      <c r="A44" s="4" t="s">
        <v>29</v>
      </c>
      <c r="B44" s="4">
        <v>2024</v>
      </c>
      <c r="C44" s="5">
        <v>297851798</v>
      </c>
      <c r="D44" s="5">
        <v>90592729</v>
      </c>
      <c r="E44" s="4" t="s">
        <v>196</v>
      </c>
      <c r="F44" s="9">
        <v>30.4</v>
      </c>
      <c r="G44" s="6">
        <v>45.1</v>
      </c>
      <c r="H44" s="6">
        <v>34.4</v>
      </c>
      <c r="I44" s="6">
        <v>2.2000000000000002</v>
      </c>
    </row>
    <row r="45" spans="1:9" x14ac:dyDescent="0.25">
      <c r="A45" s="2" t="s">
        <v>28</v>
      </c>
      <c r="B45" s="2">
        <v>2023</v>
      </c>
      <c r="C45" s="3">
        <v>173311479</v>
      </c>
      <c r="D45" s="3">
        <v>86183901</v>
      </c>
      <c r="E45" s="2" t="s">
        <v>196</v>
      </c>
      <c r="F45" s="8">
        <v>49.7</v>
      </c>
      <c r="G45" s="2"/>
      <c r="H45" s="2"/>
      <c r="I45" s="2"/>
    </row>
    <row r="46" spans="1:9" x14ac:dyDescent="0.25">
      <c r="A46" s="4" t="s">
        <v>27</v>
      </c>
      <c r="B46" s="4">
        <v>2025</v>
      </c>
      <c r="C46" s="5">
        <v>494486667</v>
      </c>
      <c r="D46" s="5">
        <v>84191095</v>
      </c>
      <c r="E46" s="4" t="s">
        <v>196</v>
      </c>
      <c r="F46" s="9">
        <v>17</v>
      </c>
      <c r="G46" s="7">
        <v>-34.9</v>
      </c>
      <c r="H46" s="7">
        <v>-20.399999999999999</v>
      </c>
      <c r="I46" s="7">
        <v>-3.8</v>
      </c>
    </row>
    <row r="47" spans="1:9" x14ac:dyDescent="0.25">
      <c r="A47" s="2" t="s">
        <v>29</v>
      </c>
      <c r="B47" s="2">
        <v>2025</v>
      </c>
      <c r="C47" s="3">
        <v>305670696</v>
      </c>
      <c r="D47" s="3">
        <v>80542238</v>
      </c>
      <c r="E47" s="2" t="s">
        <v>196</v>
      </c>
      <c r="F47" s="8">
        <v>26.3</v>
      </c>
      <c r="G47" s="7">
        <v>-11.1</v>
      </c>
      <c r="H47" s="6">
        <v>2.6</v>
      </c>
      <c r="I47" s="7">
        <v>-4.0999999999999996</v>
      </c>
    </row>
    <row r="48" spans="1:9" x14ac:dyDescent="0.25">
      <c r="A48" s="4" t="s">
        <v>28</v>
      </c>
      <c r="B48" s="4">
        <v>2025</v>
      </c>
      <c r="C48" s="5">
        <v>154078477</v>
      </c>
      <c r="D48" s="5">
        <v>78003105</v>
      </c>
      <c r="E48" s="4" t="s">
        <v>196</v>
      </c>
      <c r="F48" s="9">
        <v>50.6</v>
      </c>
      <c r="G48" s="6">
        <v>2.2000000000000002</v>
      </c>
      <c r="H48" s="6">
        <v>2</v>
      </c>
      <c r="I48" s="9">
        <v>0</v>
      </c>
    </row>
    <row r="49" spans="1:9" x14ac:dyDescent="0.25">
      <c r="A49" s="2" t="s">
        <v>28</v>
      </c>
      <c r="B49" s="2">
        <v>2024</v>
      </c>
      <c r="C49" s="3">
        <v>151001868</v>
      </c>
      <c r="D49" s="3">
        <v>76359996</v>
      </c>
      <c r="E49" s="2" t="s">
        <v>196</v>
      </c>
      <c r="F49" s="8">
        <v>50.6</v>
      </c>
      <c r="G49" s="7">
        <v>-11.4</v>
      </c>
      <c r="H49" s="7">
        <v>-12.9</v>
      </c>
      <c r="I49" s="6">
        <v>0.9</v>
      </c>
    </row>
    <row r="50" spans="1:9" x14ac:dyDescent="0.25">
      <c r="A50" s="4" t="s">
        <v>29</v>
      </c>
      <c r="B50" s="4">
        <v>2023</v>
      </c>
      <c r="C50" s="5">
        <v>221654221</v>
      </c>
      <c r="D50" s="5">
        <v>62423423</v>
      </c>
      <c r="E50" s="4" t="s">
        <v>196</v>
      </c>
      <c r="F50" s="9">
        <v>28.2</v>
      </c>
      <c r="G50" s="4"/>
      <c r="H50" s="4"/>
      <c r="I50" s="4"/>
    </row>
    <row r="51" spans="1:9" x14ac:dyDescent="0.25">
      <c r="A51" s="2" t="s">
        <v>32</v>
      </c>
      <c r="B51" s="2">
        <v>2024</v>
      </c>
      <c r="C51" s="3">
        <v>158360574</v>
      </c>
      <c r="D51" s="3">
        <v>46782089</v>
      </c>
      <c r="E51" s="2" t="s">
        <v>196</v>
      </c>
      <c r="F51" s="8">
        <v>29.5</v>
      </c>
      <c r="G51" s="6">
        <v>79.5</v>
      </c>
      <c r="H51" s="6">
        <v>20.2</v>
      </c>
      <c r="I51" s="6">
        <v>9.6999999999999993</v>
      </c>
    </row>
    <row r="52" spans="1:9" x14ac:dyDescent="0.25">
      <c r="A52" s="4" t="s">
        <v>30</v>
      </c>
      <c r="B52" s="4">
        <v>2024</v>
      </c>
      <c r="C52" s="5">
        <v>155443105</v>
      </c>
      <c r="D52" s="5">
        <v>44560707</v>
      </c>
      <c r="E52" s="4" t="s">
        <v>196</v>
      </c>
      <c r="F52" s="9">
        <v>28.7</v>
      </c>
      <c r="G52" s="6">
        <v>17.100000000000001</v>
      </c>
      <c r="H52" s="6">
        <v>0.7</v>
      </c>
      <c r="I52" s="6">
        <v>4</v>
      </c>
    </row>
    <row r="53" spans="1:9" x14ac:dyDescent="0.25">
      <c r="A53" s="2" t="s">
        <v>31</v>
      </c>
      <c r="B53" s="2">
        <v>2025</v>
      </c>
      <c r="C53" s="3">
        <v>178662811</v>
      </c>
      <c r="D53" s="3">
        <v>43544119</v>
      </c>
      <c r="E53" s="2" t="s">
        <v>196</v>
      </c>
      <c r="F53" s="8">
        <v>24.4</v>
      </c>
      <c r="G53" s="6">
        <v>26.2</v>
      </c>
      <c r="H53" s="7">
        <v>-26.7</v>
      </c>
      <c r="I53" s="6">
        <v>10.199999999999999</v>
      </c>
    </row>
    <row r="54" spans="1:9" x14ac:dyDescent="0.25">
      <c r="A54" s="4" t="s">
        <v>30</v>
      </c>
      <c r="B54" s="4">
        <v>2025</v>
      </c>
      <c r="C54" s="5">
        <v>133885860</v>
      </c>
      <c r="D54" s="5">
        <v>43271868</v>
      </c>
      <c r="E54" s="4" t="s">
        <v>196</v>
      </c>
      <c r="F54" s="9">
        <v>32.299999999999997</v>
      </c>
      <c r="G54" s="7">
        <v>-2.9</v>
      </c>
      <c r="H54" s="7">
        <v>-13.9</v>
      </c>
      <c r="I54" s="6">
        <v>3.6</v>
      </c>
    </row>
    <row r="55" spans="1:9" x14ac:dyDescent="0.25">
      <c r="A55" s="2" t="s">
        <v>32</v>
      </c>
      <c r="B55" s="2">
        <v>2025</v>
      </c>
      <c r="C55" s="3">
        <v>145902352</v>
      </c>
      <c r="D55" s="3">
        <v>38287029</v>
      </c>
      <c r="E55" s="2" t="s">
        <v>196</v>
      </c>
      <c r="F55" s="8">
        <v>26.2</v>
      </c>
      <c r="G55" s="7">
        <v>-18.2</v>
      </c>
      <c r="H55" s="7">
        <v>-7.9</v>
      </c>
      <c r="I55" s="7">
        <v>-3.3</v>
      </c>
    </row>
    <row r="56" spans="1:9" x14ac:dyDescent="0.25">
      <c r="A56" s="4" t="s">
        <v>30</v>
      </c>
      <c r="B56" s="4">
        <v>2023</v>
      </c>
      <c r="C56" s="5">
        <v>154311511</v>
      </c>
      <c r="D56" s="5">
        <v>38059989</v>
      </c>
      <c r="E56" s="4" t="s">
        <v>196</v>
      </c>
      <c r="F56" s="9">
        <v>24.7</v>
      </c>
      <c r="G56" s="4"/>
      <c r="H56" s="4"/>
      <c r="I56" s="4"/>
    </row>
    <row r="57" spans="1:9" x14ac:dyDescent="0.25">
      <c r="A57" s="2" t="s">
        <v>31</v>
      </c>
      <c r="B57" s="2">
        <v>2024</v>
      </c>
      <c r="C57" s="3">
        <v>243739204</v>
      </c>
      <c r="D57" s="3">
        <v>34517509</v>
      </c>
      <c r="E57" s="2" t="s">
        <v>196</v>
      </c>
      <c r="F57" s="8">
        <v>14.2</v>
      </c>
      <c r="G57" s="6">
        <v>0.6</v>
      </c>
      <c r="H57" s="7">
        <v>-9</v>
      </c>
      <c r="I57" s="6">
        <v>1.4</v>
      </c>
    </row>
    <row r="58" spans="1:9" x14ac:dyDescent="0.25">
      <c r="A58" s="4" t="s">
        <v>31</v>
      </c>
      <c r="B58" s="4">
        <v>2023</v>
      </c>
      <c r="C58" s="5">
        <v>267931503</v>
      </c>
      <c r="D58" s="5">
        <v>34295336</v>
      </c>
      <c r="E58" s="4" t="s">
        <v>196</v>
      </c>
      <c r="F58" s="9">
        <v>12.8</v>
      </c>
      <c r="G58" s="4"/>
      <c r="H58" s="4"/>
      <c r="I58" s="4"/>
    </row>
    <row r="59" spans="1:9" x14ac:dyDescent="0.25">
      <c r="A59" s="2" t="s">
        <v>37</v>
      </c>
      <c r="B59" s="2">
        <v>2025</v>
      </c>
      <c r="C59" s="3">
        <v>37831891</v>
      </c>
      <c r="D59" s="3">
        <v>26241247</v>
      </c>
      <c r="E59" s="2" t="s">
        <v>196</v>
      </c>
      <c r="F59" s="8">
        <v>69.400000000000006</v>
      </c>
      <c r="G59" s="6">
        <v>7.6</v>
      </c>
      <c r="H59" s="6">
        <v>11</v>
      </c>
      <c r="I59" s="7">
        <v>-2.2000000000000002</v>
      </c>
    </row>
    <row r="60" spans="1:9" x14ac:dyDescent="0.25">
      <c r="A60" s="4" t="s">
        <v>32</v>
      </c>
      <c r="B60" s="4">
        <v>2023</v>
      </c>
      <c r="C60" s="5">
        <v>131755673</v>
      </c>
      <c r="D60" s="5">
        <v>26060389</v>
      </c>
      <c r="E60" s="4" t="s">
        <v>196</v>
      </c>
      <c r="F60" s="9">
        <v>19.8</v>
      </c>
      <c r="G60" s="4"/>
      <c r="H60" s="4"/>
      <c r="I60" s="4"/>
    </row>
    <row r="61" spans="1:9" x14ac:dyDescent="0.25">
      <c r="A61" s="2" t="s">
        <v>33</v>
      </c>
      <c r="B61" s="2">
        <v>2025</v>
      </c>
      <c r="C61" s="3">
        <v>54958104</v>
      </c>
      <c r="D61" s="3">
        <v>25332727</v>
      </c>
      <c r="E61" s="2" t="s">
        <v>196</v>
      </c>
      <c r="F61" s="8">
        <v>46.1</v>
      </c>
      <c r="G61" s="6">
        <v>15.6</v>
      </c>
      <c r="H61" s="6">
        <v>15.6</v>
      </c>
      <c r="I61" s="9">
        <v>0</v>
      </c>
    </row>
    <row r="62" spans="1:9" x14ac:dyDescent="0.25">
      <c r="A62" s="4" t="s">
        <v>37</v>
      </c>
      <c r="B62" s="4">
        <v>2024</v>
      </c>
      <c r="C62" s="5">
        <v>34095026</v>
      </c>
      <c r="D62" s="5">
        <v>24396855</v>
      </c>
      <c r="E62" s="4" t="s">
        <v>196</v>
      </c>
      <c r="F62" s="9">
        <v>71.599999999999994</v>
      </c>
      <c r="G62" s="6">
        <v>44</v>
      </c>
      <c r="H62" s="6">
        <v>15</v>
      </c>
      <c r="I62" s="6">
        <v>14.5</v>
      </c>
    </row>
    <row r="63" spans="1:9" x14ac:dyDescent="0.25">
      <c r="A63" s="2" t="s">
        <v>33</v>
      </c>
      <c r="B63" s="2">
        <v>2023</v>
      </c>
      <c r="C63" s="3">
        <v>48820355</v>
      </c>
      <c r="D63" s="3">
        <v>23860868</v>
      </c>
      <c r="E63" s="2" t="s">
        <v>196</v>
      </c>
      <c r="F63" s="8">
        <v>48.9</v>
      </c>
      <c r="G63" s="2"/>
      <c r="H63" s="2"/>
      <c r="I63" s="2"/>
    </row>
    <row r="64" spans="1:9" x14ac:dyDescent="0.25">
      <c r="A64" s="4" t="s">
        <v>34</v>
      </c>
      <c r="B64" s="4">
        <v>2023</v>
      </c>
      <c r="C64" s="5">
        <v>64338040</v>
      </c>
      <c r="D64" s="5">
        <v>22825913</v>
      </c>
      <c r="E64" s="4" t="s">
        <v>196</v>
      </c>
      <c r="F64" s="9">
        <v>35.5</v>
      </c>
      <c r="G64" s="4"/>
      <c r="H64" s="4"/>
      <c r="I64" s="4"/>
    </row>
    <row r="65" spans="1:9" x14ac:dyDescent="0.25">
      <c r="A65" s="2" t="s">
        <v>33</v>
      </c>
      <c r="B65" s="2">
        <v>2024</v>
      </c>
      <c r="C65" s="3">
        <v>47546622</v>
      </c>
      <c r="D65" s="3">
        <v>21922921</v>
      </c>
      <c r="E65" s="2" t="s">
        <v>196</v>
      </c>
      <c r="F65" s="8">
        <v>46.1</v>
      </c>
      <c r="G65" s="7">
        <v>-8.1</v>
      </c>
      <c r="H65" s="7">
        <v>-2.6</v>
      </c>
      <c r="I65" s="7">
        <v>-2.8</v>
      </c>
    </row>
    <row r="66" spans="1:9" x14ac:dyDescent="0.25">
      <c r="A66" s="4" t="s">
        <v>36</v>
      </c>
      <c r="B66" s="4">
        <v>2025</v>
      </c>
      <c r="C66" s="5">
        <v>60416080</v>
      </c>
      <c r="D66" s="5">
        <v>21773725</v>
      </c>
      <c r="E66" s="4" t="s">
        <v>196</v>
      </c>
      <c r="F66" s="9">
        <v>36</v>
      </c>
      <c r="G66" s="6">
        <v>14.4</v>
      </c>
      <c r="H66" s="6">
        <v>21.5</v>
      </c>
      <c r="I66" s="7">
        <v>-2.2999999999999998</v>
      </c>
    </row>
    <row r="67" spans="1:9" x14ac:dyDescent="0.25">
      <c r="A67" s="2" t="s">
        <v>36</v>
      </c>
      <c r="B67" s="2">
        <v>2024</v>
      </c>
      <c r="C67" s="3">
        <v>49733826</v>
      </c>
      <c r="D67" s="3">
        <v>19040969</v>
      </c>
      <c r="E67" s="2" t="s">
        <v>196</v>
      </c>
      <c r="F67" s="8">
        <v>38.299999999999997</v>
      </c>
      <c r="G67" s="6">
        <v>12.3</v>
      </c>
      <c r="H67" s="7">
        <v>-2.4</v>
      </c>
      <c r="I67" s="6">
        <v>5</v>
      </c>
    </row>
    <row r="68" spans="1:9" x14ac:dyDescent="0.25">
      <c r="A68" s="4" t="s">
        <v>34</v>
      </c>
      <c r="B68" s="4">
        <v>2024</v>
      </c>
      <c r="C68" s="5">
        <v>79294070</v>
      </c>
      <c r="D68" s="5">
        <v>18958049</v>
      </c>
      <c r="E68" s="4" t="s">
        <v>196</v>
      </c>
      <c r="F68" s="9">
        <v>23.9</v>
      </c>
      <c r="G68" s="7">
        <v>-16.899999999999999</v>
      </c>
      <c r="H68" s="6">
        <v>23.2</v>
      </c>
      <c r="I68" s="7">
        <v>-11.6</v>
      </c>
    </row>
    <row r="69" spans="1:9" x14ac:dyDescent="0.25">
      <c r="A69" s="2" t="s">
        <v>35</v>
      </c>
      <c r="B69" s="2">
        <v>2023</v>
      </c>
      <c r="C69" s="3">
        <v>17179931</v>
      </c>
      <c r="D69" s="3">
        <v>17091616</v>
      </c>
      <c r="E69" s="2" t="s">
        <v>196</v>
      </c>
      <c r="F69" s="8">
        <v>99.5</v>
      </c>
      <c r="G69" s="2"/>
      <c r="H69" s="2"/>
      <c r="I69" s="2"/>
    </row>
    <row r="70" spans="1:9" x14ac:dyDescent="0.25">
      <c r="A70" s="4" t="s">
        <v>34</v>
      </c>
      <c r="B70" s="4">
        <v>2025</v>
      </c>
      <c r="C70" s="5">
        <v>120732205</v>
      </c>
      <c r="D70" s="5">
        <v>17091563</v>
      </c>
      <c r="E70" s="4" t="s">
        <v>196</v>
      </c>
      <c r="F70" s="9">
        <v>14.2</v>
      </c>
      <c r="G70" s="7">
        <v>-9.8000000000000007</v>
      </c>
      <c r="H70" s="6">
        <v>52.3</v>
      </c>
      <c r="I70" s="7">
        <v>-9.6999999999999993</v>
      </c>
    </row>
    <row r="71" spans="1:9" x14ac:dyDescent="0.25">
      <c r="A71" s="2" t="s">
        <v>36</v>
      </c>
      <c r="B71" s="2">
        <v>2023</v>
      </c>
      <c r="C71" s="3">
        <v>50982721</v>
      </c>
      <c r="D71" s="3">
        <v>16955304</v>
      </c>
      <c r="E71" s="2" t="s">
        <v>196</v>
      </c>
      <c r="F71" s="8">
        <v>33.299999999999997</v>
      </c>
      <c r="G71" s="2"/>
      <c r="H71" s="2"/>
      <c r="I71" s="2"/>
    </row>
    <row r="72" spans="1:9" x14ac:dyDescent="0.25">
      <c r="A72" s="4" t="s">
        <v>37</v>
      </c>
      <c r="B72" s="4">
        <v>2023</v>
      </c>
      <c r="C72" s="5">
        <v>29647570</v>
      </c>
      <c r="D72" s="5">
        <v>16943121</v>
      </c>
      <c r="E72" s="4" t="s">
        <v>196</v>
      </c>
      <c r="F72" s="9">
        <v>57.1</v>
      </c>
      <c r="G72" s="4"/>
      <c r="H72" s="4"/>
      <c r="I72" s="4"/>
    </row>
    <row r="73" spans="1:9" x14ac:dyDescent="0.25">
      <c r="A73" s="2" t="s">
        <v>35</v>
      </c>
      <c r="B73" s="2">
        <v>2024</v>
      </c>
      <c r="C73" s="3">
        <v>16633060</v>
      </c>
      <c r="D73" s="3">
        <v>16474355</v>
      </c>
      <c r="E73" s="2" t="s">
        <v>196</v>
      </c>
      <c r="F73" s="8">
        <v>99</v>
      </c>
      <c r="G73" s="7">
        <v>-3.6</v>
      </c>
      <c r="H73" s="7">
        <v>-3.2</v>
      </c>
      <c r="I73" s="7">
        <v>-0.5</v>
      </c>
    </row>
    <row r="74" spans="1:9" x14ac:dyDescent="0.25">
      <c r="A74" s="4" t="s">
        <v>39</v>
      </c>
      <c r="B74" s="4">
        <v>2025</v>
      </c>
      <c r="C74" s="5">
        <v>115277738</v>
      </c>
      <c r="D74" s="5">
        <v>16289110</v>
      </c>
      <c r="E74" s="4" t="s">
        <v>196</v>
      </c>
      <c r="F74" s="9">
        <v>14.1</v>
      </c>
      <c r="G74" s="6">
        <v>29.4</v>
      </c>
      <c r="H74" s="6">
        <v>7.1</v>
      </c>
      <c r="I74" s="6">
        <v>2.4</v>
      </c>
    </row>
    <row r="75" spans="1:9" x14ac:dyDescent="0.25">
      <c r="A75" s="2" t="s">
        <v>41</v>
      </c>
      <c r="B75" s="2">
        <v>2024</v>
      </c>
      <c r="C75" s="3">
        <v>23041313</v>
      </c>
      <c r="D75" s="3">
        <v>13112707</v>
      </c>
      <c r="E75" s="2" t="s">
        <v>196</v>
      </c>
      <c r="F75" s="8">
        <v>56.9</v>
      </c>
      <c r="G75" s="6">
        <v>53.9</v>
      </c>
      <c r="H75" s="6">
        <v>15.8</v>
      </c>
      <c r="I75" s="6">
        <v>14.1</v>
      </c>
    </row>
    <row r="76" spans="1:9" x14ac:dyDescent="0.25">
      <c r="A76" s="4" t="s">
        <v>40</v>
      </c>
      <c r="B76" s="4">
        <v>2025</v>
      </c>
      <c r="C76" s="5">
        <v>35167653</v>
      </c>
      <c r="D76" s="5">
        <v>13097092</v>
      </c>
      <c r="E76" s="4" t="s">
        <v>196</v>
      </c>
      <c r="F76" s="9">
        <v>37.200000000000003</v>
      </c>
      <c r="G76" s="6">
        <v>9.6999999999999993</v>
      </c>
      <c r="H76" s="6">
        <v>7.1</v>
      </c>
      <c r="I76" s="6">
        <v>0.8</v>
      </c>
    </row>
    <row r="77" spans="1:9" x14ac:dyDescent="0.25">
      <c r="A77" s="2" t="s">
        <v>41</v>
      </c>
      <c r="B77" s="2">
        <v>2025</v>
      </c>
      <c r="C77" s="3">
        <v>23090895</v>
      </c>
      <c r="D77" s="3">
        <v>12920187</v>
      </c>
      <c r="E77" s="2" t="s">
        <v>196</v>
      </c>
      <c r="F77" s="8">
        <v>56</v>
      </c>
      <c r="G77" s="7">
        <v>-1.5</v>
      </c>
      <c r="H77" s="6">
        <v>0.2</v>
      </c>
      <c r="I77" s="7">
        <v>-0.9</v>
      </c>
    </row>
    <row r="78" spans="1:9" x14ac:dyDescent="0.25">
      <c r="A78" s="4" t="s">
        <v>38</v>
      </c>
      <c r="B78" s="4">
        <v>2023</v>
      </c>
      <c r="C78" s="5">
        <v>22835548</v>
      </c>
      <c r="D78" s="5">
        <v>12739892</v>
      </c>
      <c r="E78" s="4" t="s">
        <v>196</v>
      </c>
      <c r="F78" s="9">
        <v>55.8</v>
      </c>
      <c r="G78" s="4"/>
      <c r="H78" s="4"/>
      <c r="I78" s="4"/>
    </row>
    <row r="79" spans="1:9" x14ac:dyDescent="0.25">
      <c r="A79" s="2" t="s">
        <v>39</v>
      </c>
      <c r="B79" s="2">
        <v>2023</v>
      </c>
      <c r="C79" s="3">
        <v>110005272</v>
      </c>
      <c r="D79" s="3">
        <v>12736742</v>
      </c>
      <c r="E79" s="2" t="s">
        <v>196</v>
      </c>
      <c r="F79" s="8">
        <v>11.6</v>
      </c>
      <c r="G79" s="2"/>
      <c r="H79" s="2"/>
      <c r="I79" s="2"/>
    </row>
    <row r="80" spans="1:9" x14ac:dyDescent="0.25">
      <c r="A80" s="4" t="s">
        <v>39</v>
      </c>
      <c r="B80" s="4">
        <v>2024</v>
      </c>
      <c r="C80" s="5">
        <v>107630494</v>
      </c>
      <c r="D80" s="5">
        <v>12587261</v>
      </c>
      <c r="E80" s="4" t="s">
        <v>196</v>
      </c>
      <c r="F80" s="9">
        <v>11.7</v>
      </c>
      <c r="G80" s="7">
        <v>-1.2</v>
      </c>
      <c r="H80" s="7">
        <v>-2.2000000000000002</v>
      </c>
      <c r="I80" s="6">
        <v>0.1</v>
      </c>
    </row>
    <row r="81" spans="1:9" x14ac:dyDescent="0.25">
      <c r="A81" s="2" t="s">
        <v>40</v>
      </c>
      <c r="B81" s="2">
        <v>2024</v>
      </c>
      <c r="C81" s="3">
        <v>32844178</v>
      </c>
      <c r="D81" s="3">
        <v>11943030</v>
      </c>
      <c r="E81" s="2" t="s">
        <v>196</v>
      </c>
      <c r="F81" s="8">
        <v>36.4</v>
      </c>
      <c r="G81" s="6">
        <v>6.9</v>
      </c>
      <c r="H81" s="7">
        <v>-1.4</v>
      </c>
      <c r="I81" s="6">
        <v>2.9</v>
      </c>
    </row>
    <row r="82" spans="1:9" x14ac:dyDescent="0.25">
      <c r="A82" s="4" t="s">
        <v>40</v>
      </c>
      <c r="B82" s="4">
        <v>2023</v>
      </c>
      <c r="C82" s="5">
        <v>33309125</v>
      </c>
      <c r="D82" s="5">
        <v>11169261</v>
      </c>
      <c r="E82" s="4" t="s">
        <v>196</v>
      </c>
      <c r="F82" s="9">
        <v>33.5</v>
      </c>
      <c r="G82" s="4"/>
      <c r="H82" s="4"/>
      <c r="I82" s="4"/>
    </row>
    <row r="83" spans="1:9" x14ac:dyDescent="0.25">
      <c r="A83" s="2" t="s">
        <v>38</v>
      </c>
      <c r="B83" s="2">
        <v>2024</v>
      </c>
      <c r="C83" s="3">
        <v>21729331</v>
      </c>
      <c r="D83" s="3">
        <v>10747434</v>
      </c>
      <c r="E83" s="2" t="s">
        <v>196</v>
      </c>
      <c r="F83" s="8">
        <v>49.5</v>
      </c>
      <c r="G83" s="7">
        <v>-15.6</v>
      </c>
      <c r="H83" s="7">
        <v>-4.8</v>
      </c>
      <c r="I83" s="7">
        <v>-6.3</v>
      </c>
    </row>
    <row r="84" spans="1:9" x14ac:dyDescent="0.25">
      <c r="A84" s="4" t="s">
        <v>35</v>
      </c>
      <c r="B84" s="4">
        <v>2025</v>
      </c>
      <c r="C84" s="5">
        <v>10096152</v>
      </c>
      <c r="D84" s="5">
        <v>9975457</v>
      </c>
      <c r="E84" s="4" t="s">
        <v>196</v>
      </c>
      <c r="F84" s="9">
        <v>98.8</v>
      </c>
      <c r="G84" s="7">
        <v>-39.4</v>
      </c>
      <c r="H84" s="7">
        <v>-39.299999999999997</v>
      </c>
      <c r="I84" s="7">
        <v>-0.2</v>
      </c>
    </row>
    <row r="85" spans="1:9" x14ac:dyDescent="0.25">
      <c r="A85" s="2" t="s">
        <v>41</v>
      </c>
      <c r="B85" s="2">
        <v>2023</v>
      </c>
      <c r="C85" s="3">
        <v>19903832</v>
      </c>
      <c r="D85" s="3">
        <v>8517567</v>
      </c>
      <c r="E85" s="2" t="s">
        <v>196</v>
      </c>
      <c r="F85" s="8">
        <v>42.8</v>
      </c>
      <c r="G85" s="2"/>
      <c r="H85" s="2"/>
      <c r="I85" s="2"/>
    </row>
    <row r="86" spans="1:9" x14ac:dyDescent="0.25">
      <c r="A86" s="4" t="s">
        <v>38</v>
      </c>
      <c r="B86" s="4">
        <v>2025</v>
      </c>
      <c r="C86" s="5">
        <v>17633637</v>
      </c>
      <c r="D86" s="5">
        <v>8387378</v>
      </c>
      <c r="E86" s="4" t="s">
        <v>196</v>
      </c>
      <c r="F86" s="9">
        <v>47.6</v>
      </c>
      <c r="G86" s="7">
        <v>-22</v>
      </c>
      <c r="H86" s="7">
        <v>-18.8</v>
      </c>
      <c r="I86" s="7">
        <v>-1.9</v>
      </c>
    </row>
    <row r="87" spans="1:9" x14ac:dyDescent="0.25">
      <c r="A87" s="2" t="s">
        <v>109</v>
      </c>
      <c r="B87" s="2">
        <v>2024</v>
      </c>
      <c r="C87" s="3">
        <v>30102974</v>
      </c>
      <c r="D87" s="3">
        <v>5927827</v>
      </c>
      <c r="E87" s="2" t="s">
        <v>196</v>
      </c>
      <c r="F87" s="8">
        <v>19.7</v>
      </c>
      <c r="G87" s="6">
        <v>57.1</v>
      </c>
      <c r="H87" s="6">
        <v>17.2</v>
      </c>
      <c r="I87" s="6">
        <v>5</v>
      </c>
    </row>
    <row r="88" spans="1:9" x14ac:dyDescent="0.25">
      <c r="A88" s="4" t="s">
        <v>108</v>
      </c>
      <c r="B88" s="4">
        <v>2023</v>
      </c>
      <c r="C88" s="5">
        <v>6898927</v>
      </c>
      <c r="D88" s="5">
        <v>5910461</v>
      </c>
      <c r="E88" s="4" t="s">
        <v>196</v>
      </c>
      <c r="F88" s="9">
        <v>85.7</v>
      </c>
      <c r="G88" s="4"/>
      <c r="H88" s="4"/>
      <c r="I88" s="4"/>
    </row>
    <row r="89" spans="1:9" x14ac:dyDescent="0.25">
      <c r="A89" s="2" t="s">
        <v>109</v>
      </c>
      <c r="B89" s="2">
        <v>2025</v>
      </c>
      <c r="C89" s="3">
        <v>30912748</v>
      </c>
      <c r="D89" s="3">
        <v>5619158</v>
      </c>
      <c r="E89" s="2" t="s">
        <v>196</v>
      </c>
      <c r="F89" s="8">
        <v>18.2</v>
      </c>
      <c r="G89" s="7">
        <v>-5.2</v>
      </c>
      <c r="H89" s="6">
        <v>2.7</v>
      </c>
      <c r="I89" s="7">
        <v>-1.5</v>
      </c>
    </row>
    <row r="90" spans="1:9" x14ac:dyDescent="0.25">
      <c r="A90" s="4" t="s">
        <v>250</v>
      </c>
      <c r="B90" s="4">
        <v>2025</v>
      </c>
      <c r="C90" s="5">
        <v>17245058</v>
      </c>
      <c r="D90" s="5">
        <v>5037645</v>
      </c>
      <c r="E90" s="4" t="s">
        <v>196</v>
      </c>
      <c r="F90" s="9">
        <v>29.2</v>
      </c>
      <c r="G90" s="6">
        <v>15.7</v>
      </c>
      <c r="H90" s="6">
        <v>12.7</v>
      </c>
      <c r="I90" s="6">
        <v>0.7</v>
      </c>
    </row>
    <row r="91" spans="1:9" x14ac:dyDescent="0.25">
      <c r="A91" s="2" t="s">
        <v>108</v>
      </c>
      <c r="B91" s="2">
        <v>2024</v>
      </c>
      <c r="C91" s="3">
        <v>11594279</v>
      </c>
      <c r="D91" s="3">
        <v>4792474</v>
      </c>
      <c r="E91" s="2" t="s">
        <v>196</v>
      </c>
      <c r="F91" s="8">
        <v>41.3</v>
      </c>
      <c r="G91" s="7">
        <v>-18.899999999999999</v>
      </c>
      <c r="H91" s="6">
        <v>68.099999999999994</v>
      </c>
      <c r="I91" s="7">
        <v>-44.4</v>
      </c>
    </row>
    <row r="92" spans="1:9" x14ac:dyDescent="0.25">
      <c r="A92" s="4" t="s">
        <v>250</v>
      </c>
      <c r="B92" s="4">
        <v>2024</v>
      </c>
      <c r="C92" s="5">
        <v>15301411</v>
      </c>
      <c r="D92" s="5">
        <v>4353514</v>
      </c>
      <c r="E92" s="4" t="s">
        <v>196</v>
      </c>
      <c r="F92" s="9">
        <v>28.5</v>
      </c>
      <c r="G92" s="6">
        <v>5.9</v>
      </c>
      <c r="H92" s="6">
        <v>4.3</v>
      </c>
      <c r="I92" s="6">
        <v>0.5</v>
      </c>
    </row>
    <row r="93" spans="1:9" x14ac:dyDescent="0.25">
      <c r="A93" s="2" t="s">
        <v>108</v>
      </c>
      <c r="B93" s="2">
        <v>2025</v>
      </c>
      <c r="C93" s="3">
        <v>11134599</v>
      </c>
      <c r="D93" s="3">
        <v>4128131</v>
      </c>
      <c r="E93" s="2" t="s">
        <v>196</v>
      </c>
      <c r="F93" s="8">
        <v>37.1</v>
      </c>
      <c r="G93" s="7">
        <v>-13.9</v>
      </c>
      <c r="H93" s="7">
        <v>-4</v>
      </c>
      <c r="I93" s="7">
        <v>-4.2</v>
      </c>
    </row>
    <row r="94" spans="1:9" x14ac:dyDescent="0.25">
      <c r="A94" s="4" t="s">
        <v>250</v>
      </c>
      <c r="B94" s="4">
        <v>2023</v>
      </c>
      <c r="C94" s="5">
        <v>14663794</v>
      </c>
      <c r="D94" s="5">
        <v>4110918</v>
      </c>
      <c r="E94" s="4" t="s">
        <v>196</v>
      </c>
      <c r="F94" s="9">
        <v>28</v>
      </c>
      <c r="G94" s="4"/>
      <c r="H94" s="4"/>
      <c r="I94" s="4"/>
    </row>
    <row r="95" spans="1:9" x14ac:dyDescent="0.25">
      <c r="A95" s="2" t="s">
        <v>109</v>
      </c>
      <c r="B95" s="2">
        <v>2023</v>
      </c>
      <c r="C95" s="3">
        <v>25693852</v>
      </c>
      <c r="D95" s="3">
        <v>3774108</v>
      </c>
      <c r="E95" s="2" t="s">
        <v>196</v>
      </c>
      <c r="F95" s="8">
        <v>14.7</v>
      </c>
      <c r="G95" s="2"/>
      <c r="H95" s="2"/>
      <c r="I95" s="2"/>
    </row>
    <row r="96" spans="1:9" x14ac:dyDescent="0.25">
      <c r="A96" s="4" t="s">
        <v>251</v>
      </c>
      <c r="B96" s="4">
        <v>2025</v>
      </c>
      <c r="C96" s="5">
        <v>5777350</v>
      </c>
      <c r="D96" s="5">
        <v>2827116</v>
      </c>
      <c r="E96" s="4" t="s">
        <v>196</v>
      </c>
      <c r="F96" s="9">
        <v>48.9</v>
      </c>
      <c r="G96" s="6">
        <v>36.6</v>
      </c>
      <c r="H96" s="6">
        <v>18.100000000000001</v>
      </c>
      <c r="I96" s="6">
        <v>6.6</v>
      </c>
    </row>
    <row r="97" spans="1:9" x14ac:dyDescent="0.25">
      <c r="A97" s="2" t="s">
        <v>251</v>
      </c>
      <c r="B97" s="2">
        <v>2024</v>
      </c>
      <c r="C97" s="3">
        <v>4892423</v>
      </c>
      <c r="D97" s="3">
        <v>2069715</v>
      </c>
      <c r="E97" s="2" t="s">
        <v>196</v>
      </c>
      <c r="F97" s="8">
        <v>42.3</v>
      </c>
      <c r="G97" s="6">
        <v>30.3</v>
      </c>
      <c r="H97" s="6">
        <v>30.4</v>
      </c>
      <c r="I97" s="9">
        <v>0</v>
      </c>
    </row>
    <row r="98" spans="1:9" x14ac:dyDescent="0.25">
      <c r="A98" s="4" t="s">
        <v>252</v>
      </c>
      <c r="B98" s="4">
        <v>2023</v>
      </c>
      <c r="C98" s="5">
        <v>747475895</v>
      </c>
      <c r="D98" s="5">
        <v>1741355</v>
      </c>
      <c r="E98" s="4" t="s">
        <v>196</v>
      </c>
      <c r="F98" s="9">
        <v>0.2</v>
      </c>
      <c r="G98" s="4"/>
      <c r="H98" s="4"/>
      <c r="I98" s="4"/>
    </row>
    <row r="99" spans="1:9" x14ac:dyDescent="0.25">
      <c r="A99" s="2" t="s">
        <v>251</v>
      </c>
      <c r="B99" s="2">
        <v>2023</v>
      </c>
      <c r="C99" s="3">
        <v>3752336</v>
      </c>
      <c r="D99" s="3">
        <v>1588495</v>
      </c>
      <c r="E99" s="2" t="s">
        <v>196</v>
      </c>
      <c r="F99" s="8">
        <v>42.3</v>
      </c>
      <c r="G99" s="2"/>
      <c r="H99" s="2"/>
      <c r="I99" s="2"/>
    </row>
    <row r="100" spans="1:9" x14ac:dyDescent="0.25">
      <c r="A100" s="4" t="s">
        <v>252</v>
      </c>
      <c r="B100" s="4">
        <v>2024</v>
      </c>
      <c r="C100" s="5">
        <v>784429810</v>
      </c>
      <c r="D100" s="5">
        <v>1502597</v>
      </c>
      <c r="E100" s="4" t="s">
        <v>196</v>
      </c>
      <c r="F100" s="9">
        <v>0.2</v>
      </c>
      <c r="G100" s="7">
        <v>-13.7</v>
      </c>
      <c r="H100" s="6">
        <v>4.9000000000000004</v>
      </c>
      <c r="I100" s="9">
        <v>0</v>
      </c>
    </row>
    <row r="101" spans="1:9" x14ac:dyDescent="0.25">
      <c r="A101" s="2" t="s">
        <v>252</v>
      </c>
      <c r="B101" s="2">
        <v>2025</v>
      </c>
      <c r="C101" s="3">
        <v>659784841</v>
      </c>
      <c r="D101" s="3">
        <v>1260537</v>
      </c>
      <c r="E101" s="2" t="s">
        <v>196</v>
      </c>
      <c r="F101" s="8">
        <v>0.2</v>
      </c>
      <c r="G101" s="7">
        <v>-16.100000000000001</v>
      </c>
      <c r="H101" s="7">
        <v>-15.9</v>
      </c>
      <c r="I101" s="9">
        <v>0</v>
      </c>
    </row>
    <row r="102" spans="1:9" x14ac:dyDescent="0.25">
      <c r="A102" s="4" t="s">
        <v>253</v>
      </c>
      <c r="B102" s="4">
        <v>2025</v>
      </c>
      <c r="C102" s="5">
        <v>7155807</v>
      </c>
      <c r="D102" s="5">
        <v>827185</v>
      </c>
      <c r="E102" s="4" t="s">
        <v>196</v>
      </c>
      <c r="F102" s="9">
        <v>11.6</v>
      </c>
      <c r="G102" s="6">
        <v>87.4</v>
      </c>
      <c r="H102" s="7">
        <v>-27.7</v>
      </c>
      <c r="I102" s="6">
        <v>7.1</v>
      </c>
    </row>
    <row r="103" spans="1:9" x14ac:dyDescent="0.25">
      <c r="A103" s="2" t="s">
        <v>254</v>
      </c>
      <c r="B103" s="2">
        <v>2023</v>
      </c>
      <c r="C103" s="3">
        <v>409020357</v>
      </c>
      <c r="D103" s="3">
        <v>676877</v>
      </c>
      <c r="E103" s="2" t="s">
        <v>196</v>
      </c>
      <c r="F103" s="8">
        <v>0.2</v>
      </c>
      <c r="G103" s="2"/>
      <c r="H103" s="2"/>
      <c r="I103" s="2"/>
    </row>
    <row r="104" spans="1:9" x14ac:dyDescent="0.25">
      <c r="A104" s="4" t="s">
        <v>255</v>
      </c>
      <c r="B104" s="4">
        <v>2023</v>
      </c>
      <c r="C104" s="5">
        <v>383621415</v>
      </c>
      <c r="D104" s="5">
        <v>565841</v>
      </c>
      <c r="E104" s="4" t="s">
        <v>196</v>
      </c>
      <c r="F104" s="9">
        <v>0.1</v>
      </c>
      <c r="G104" s="4"/>
      <c r="H104" s="4"/>
      <c r="I104" s="4"/>
    </row>
    <row r="105" spans="1:9" x14ac:dyDescent="0.25">
      <c r="A105" s="2" t="s">
        <v>254</v>
      </c>
      <c r="B105" s="2">
        <v>2024</v>
      </c>
      <c r="C105" s="3">
        <v>423027938</v>
      </c>
      <c r="D105" s="3">
        <v>482523</v>
      </c>
      <c r="E105" s="2" t="s">
        <v>196</v>
      </c>
      <c r="F105" s="8">
        <v>0.1</v>
      </c>
      <c r="G105" s="7">
        <v>-28.7</v>
      </c>
      <c r="H105" s="6">
        <v>3.4</v>
      </c>
      <c r="I105" s="7">
        <v>-0.1</v>
      </c>
    </row>
    <row r="106" spans="1:9" x14ac:dyDescent="0.25">
      <c r="A106" s="4" t="s">
        <v>255</v>
      </c>
      <c r="B106" s="4">
        <v>2024</v>
      </c>
      <c r="C106" s="5">
        <v>403338832</v>
      </c>
      <c r="D106" s="5">
        <v>459780</v>
      </c>
      <c r="E106" s="4" t="s">
        <v>196</v>
      </c>
      <c r="F106" s="9">
        <v>0.1</v>
      </c>
      <c r="G106" s="7">
        <v>-18.7</v>
      </c>
      <c r="H106" s="6">
        <v>5.0999999999999996</v>
      </c>
      <c r="I106" s="9">
        <v>0</v>
      </c>
    </row>
    <row r="107" spans="1:9" x14ac:dyDescent="0.25">
      <c r="A107" s="2" t="s">
        <v>253</v>
      </c>
      <c r="B107" s="2">
        <v>2024</v>
      </c>
      <c r="C107" s="3">
        <v>9899500</v>
      </c>
      <c r="D107" s="3">
        <v>441286</v>
      </c>
      <c r="E107" s="2" t="s">
        <v>196</v>
      </c>
      <c r="F107" s="8">
        <v>4.5</v>
      </c>
      <c r="G107" s="6">
        <v>76</v>
      </c>
      <c r="H107" s="6">
        <v>29</v>
      </c>
      <c r="I107" s="6">
        <v>1.2</v>
      </c>
    </row>
    <row r="108" spans="1:9" x14ac:dyDescent="0.25">
      <c r="A108" s="4" t="s">
        <v>256</v>
      </c>
      <c r="B108" s="4">
        <v>2025</v>
      </c>
      <c r="C108" s="5">
        <v>7598582</v>
      </c>
      <c r="D108" s="5">
        <v>406778</v>
      </c>
      <c r="E108" s="4" t="s">
        <v>196</v>
      </c>
      <c r="F108" s="9">
        <v>5.4</v>
      </c>
      <c r="G108" s="6">
        <v>8.9</v>
      </c>
      <c r="H108" s="6">
        <v>1.8</v>
      </c>
      <c r="I108" s="6">
        <v>0.4</v>
      </c>
    </row>
    <row r="109" spans="1:9" x14ac:dyDescent="0.25">
      <c r="A109" s="2" t="s">
        <v>255</v>
      </c>
      <c r="B109" s="2">
        <v>2025</v>
      </c>
      <c r="C109" s="3">
        <v>394013693</v>
      </c>
      <c r="D109" s="3">
        <v>397368</v>
      </c>
      <c r="E109" s="2" t="s">
        <v>196</v>
      </c>
      <c r="F109" s="8">
        <v>0.1</v>
      </c>
      <c r="G109" s="7">
        <v>-13.6</v>
      </c>
      <c r="H109" s="7">
        <v>-2.2999999999999998</v>
      </c>
      <c r="I109" s="9">
        <v>0</v>
      </c>
    </row>
    <row r="110" spans="1:9" x14ac:dyDescent="0.25">
      <c r="A110" s="4" t="s">
        <v>254</v>
      </c>
      <c r="B110" s="4">
        <v>2025</v>
      </c>
      <c r="C110" s="5">
        <v>374580333</v>
      </c>
      <c r="D110" s="5">
        <v>386366</v>
      </c>
      <c r="E110" s="4" t="s">
        <v>196</v>
      </c>
      <c r="F110" s="9">
        <v>0.1</v>
      </c>
      <c r="G110" s="7">
        <v>-19.899999999999999</v>
      </c>
      <c r="H110" s="7">
        <v>-11.5</v>
      </c>
      <c r="I110" s="9">
        <v>0</v>
      </c>
    </row>
    <row r="111" spans="1:9" x14ac:dyDescent="0.25">
      <c r="A111" s="2" t="s">
        <v>256</v>
      </c>
      <c r="B111" s="2">
        <v>2024</v>
      </c>
      <c r="C111" s="3">
        <v>7464560</v>
      </c>
      <c r="D111" s="3">
        <v>373422</v>
      </c>
      <c r="E111" s="2" t="s">
        <v>196</v>
      </c>
      <c r="F111" s="8">
        <v>5</v>
      </c>
      <c r="G111" s="6">
        <v>35.299999999999997</v>
      </c>
      <c r="H111" s="6">
        <v>9.4</v>
      </c>
      <c r="I111" s="6">
        <v>1</v>
      </c>
    </row>
    <row r="112" spans="1:9" x14ac:dyDescent="0.25">
      <c r="A112" s="4" t="s">
        <v>256</v>
      </c>
      <c r="B112" s="4">
        <v>2023</v>
      </c>
      <c r="C112" s="5">
        <v>6823234</v>
      </c>
      <c r="D112" s="5">
        <v>275990</v>
      </c>
      <c r="E112" s="4" t="s">
        <v>196</v>
      </c>
      <c r="F112" s="9">
        <v>4</v>
      </c>
      <c r="G112" s="4"/>
      <c r="H112" s="4"/>
      <c r="I112" s="4"/>
    </row>
    <row r="113" spans="1:9" x14ac:dyDescent="0.25">
      <c r="A113" s="2" t="s">
        <v>253</v>
      </c>
      <c r="B113" s="2">
        <v>2023</v>
      </c>
      <c r="C113" s="3">
        <v>7676360</v>
      </c>
      <c r="D113" s="3">
        <v>250726</v>
      </c>
      <c r="E113" s="2" t="s">
        <v>196</v>
      </c>
      <c r="F113" s="8">
        <v>3.3</v>
      </c>
      <c r="G113" s="2"/>
      <c r="H113" s="2"/>
      <c r="I113" s="2"/>
    </row>
    <row r="114" spans="1:9" x14ac:dyDescent="0.25">
      <c r="A114" s="4" t="s">
        <v>245</v>
      </c>
      <c r="B114" s="4">
        <v>2023</v>
      </c>
      <c r="C114" s="5">
        <v>3448093</v>
      </c>
      <c r="D114" s="5">
        <v>197684</v>
      </c>
      <c r="E114" s="4" t="s">
        <v>196</v>
      </c>
      <c r="F114" s="9">
        <v>5.7</v>
      </c>
      <c r="G114" s="4"/>
      <c r="H114" s="4"/>
      <c r="I114" s="4"/>
    </row>
    <row r="115" spans="1:9" x14ac:dyDescent="0.25">
      <c r="A115" s="2" t="s">
        <v>245</v>
      </c>
      <c r="B115" s="2">
        <v>2024</v>
      </c>
      <c r="C115" s="3">
        <v>3979834</v>
      </c>
      <c r="D115" s="3">
        <v>187360</v>
      </c>
      <c r="E115" s="2" t="s">
        <v>196</v>
      </c>
      <c r="F115" s="8">
        <v>4.7</v>
      </c>
      <c r="G115" s="7">
        <v>-5.2</v>
      </c>
      <c r="H115" s="6">
        <v>15.4</v>
      </c>
      <c r="I115" s="7">
        <v>-1</v>
      </c>
    </row>
    <row r="116" spans="1:9" x14ac:dyDescent="0.25">
      <c r="A116" s="4" t="s">
        <v>245</v>
      </c>
      <c r="B116" s="4">
        <v>2025</v>
      </c>
      <c r="C116" s="5">
        <v>3994060</v>
      </c>
      <c r="D116" s="5">
        <v>118031</v>
      </c>
      <c r="E116" s="4" t="s">
        <v>196</v>
      </c>
      <c r="F116" s="9">
        <v>3</v>
      </c>
      <c r="G116" s="7">
        <v>-37</v>
      </c>
      <c r="H116" s="6">
        <v>0.4</v>
      </c>
      <c r="I116" s="7">
        <v>-1.7</v>
      </c>
    </row>
    <row r="117" spans="1:9" x14ac:dyDescent="0.25">
      <c r="A117" s="2" t="s">
        <v>246</v>
      </c>
      <c r="B117" s="2">
        <v>2023</v>
      </c>
      <c r="C117" s="3">
        <v>28652310</v>
      </c>
      <c r="D117" s="3">
        <v>87451</v>
      </c>
      <c r="E117" s="2" t="s">
        <v>196</v>
      </c>
      <c r="F117" s="8">
        <v>0.3</v>
      </c>
      <c r="G117" s="2"/>
      <c r="H117" s="2"/>
      <c r="I117" s="2"/>
    </row>
    <row r="118" spans="1:9" x14ac:dyDescent="0.25">
      <c r="A118" s="4" t="s">
        <v>246</v>
      </c>
      <c r="B118" s="4">
        <v>2024</v>
      </c>
      <c r="C118" s="5">
        <v>32782561</v>
      </c>
      <c r="D118" s="5">
        <v>28099</v>
      </c>
      <c r="E118" s="4" t="s">
        <v>196</v>
      </c>
      <c r="F118" s="9">
        <v>0.1</v>
      </c>
      <c r="G118" s="7">
        <v>-67.900000000000006</v>
      </c>
      <c r="H118" s="6">
        <v>14.4</v>
      </c>
      <c r="I118" s="7">
        <v>-0.2</v>
      </c>
    </row>
    <row r="119" spans="1:9" x14ac:dyDescent="0.25">
      <c r="A119" s="2" t="s">
        <v>246</v>
      </c>
      <c r="B119" s="2">
        <v>2025</v>
      </c>
      <c r="C119" s="3">
        <v>29052254</v>
      </c>
      <c r="D119" s="3">
        <v>12567</v>
      </c>
      <c r="E119" s="2" t="s">
        <v>196</v>
      </c>
      <c r="F119" s="8">
        <v>0</v>
      </c>
      <c r="G119" s="7">
        <v>-55.3</v>
      </c>
      <c r="H119" s="7">
        <v>-11.4</v>
      </c>
      <c r="I119" s="7">
        <v>-0.1</v>
      </c>
    </row>
    <row r="120" spans="1:9" x14ac:dyDescent="0.25">
      <c r="A120" s="4" t="s">
        <v>247</v>
      </c>
      <c r="B120" s="4">
        <v>2024</v>
      </c>
      <c r="C120" s="5">
        <v>39655</v>
      </c>
      <c r="D120" s="5">
        <v>4900</v>
      </c>
      <c r="E120" s="4" t="s">
        <v>196</v>
      </c>
      <c r="F120" s="9">
        <v>12.4</v>
      </c>
      <c r="G120" s="6">
        <v>27122.2</v>
      </c>
      <c r="H120" s="6">
        <v>464</v>
      </c>
      <c r="I120" s="6">
        <v>12.1</v>
      </c>
    </row>
    <row r="121" spans="1:9" x14ac:dyDescent="0.25">
      <c r="A121" s="2" t="s">
        <v>247</v>
      </c>
      <c r="B121" s="2">
        <v>2023</v>
      </c>
      <c r="C121" s="3">
        <v>7031</v>
      </c>
      <c r="D121" s="3">
        <v>18</v>
      </c>
      <c r="E121" s="2" t="s">
        <v>196</v>
      </c>
      <c r="F121" s="8">
        <v>0.3</v>
      </c>
      <c r="G121" s="2"/>
      <c r="H121" s="2"/>
      <c r="I121" s="2"/>
    </row>
    <row r="122" spans="1:9" x14ac:dyDescent="0.25">
      <c r="A122" s="4" t="s">
        <v>248</v>
      </c>
      <c r="B122" s="4">
        <v>2023</v>
      </c>
      <c r="C122" s="5">
        <v>7006916</v>
      </c>
      <c r="D122" s="5">
        <v>10</v>
      </c>
      <c r="E122" s="4" t="s">
        <v>196</v>
      </c>
      <c r="F122" s="9">
        <v>0</v>
      </c>
      <c r="G122" s="4"/>
      <c r="H122" s="4"/>
      <c r="I122" s="4"/>
    </row>
    <row r="123" spans="1:9" x14ac:dyDescent="0.25">
      <c r="A123" s="2" t="s">
        <v>247</v>
      </c>
      <c r="B123" s="2">
        <v>2025</v>
      </c>
      <c r="C123" s="3">
        <v>25275</v>
      </c>
      <c r="D123" s="3">
        <v>8</v>
      </c>
      <c r="E123" s="2" t="s">
        <v>196</v>
      </c>
      <c r="F123" s="8">
        <v>0</v>
      </c>
      <c r="G123" s="7">
        <v>-99.8</v>
      </c>
      <c r="H123" s="7">
        <v>-36.299999999999997</v>
      </c>
      <c r="I123" s="7">
        <v>-12.4</v>
      </c>
    </row>
    <row r="124" spans="1:9" x14ac:dyDescent="0.25">
      <c r="A124" s="4" t="s">
        <v>249</v>
      </c>
      <c r="B124" s="4">
        <v>2023</v>
      </c>
      <c r="C124" s="5">
        <v>83529954</v>
      </c>
      <c r="D124" s="5">
        <v>0</v>
      </c>
      <c r="E124" s="4" t="s">
        <v>196</v>
      </c>
      <c r="F124" s="9">
        <v>0</v>
      </c>
      <c r="G124" s="4"/>
      <c r="H124" s="4"/>
      <c r="I124" s="4"/>
    </row>
    <row r="125" spans="1:9" x14ac:dyDescent="0.25">
      <c r="A125" s="2" t="s">
        <v>249</v>
      </c>
      <c r="B125" s="2">
        <v>2024</v>
      </c>
      <c r="C125" s="3">
        <v>108047082</v>
      </c>
      <c r="D125" s="3">
        <v>0</v>
      </c>
      <c r="E125" s="2" t="s">
        <v>196</v>
      </c>
      <c r="F125" s="8">
        <v>0</v>
      </c>
      <c r="G125" s="2"/>
      <c r="H125" s="6">
        <v>29.4</v>
      </c>
      <c r="I125" s="9">
        <v>0</v>
      </c>
    </row>
    <row r="126" spans="1:9" x14ac:dyDescent="0.25">
      <c r="A126" s="4" t="s">
        <v>249</v>
      </c>
      <c r="B126" s="4">
        <v>2025</v>
      </c>
      <c r="C126" s="5">
        <v>142537259</v>
      </c>
      <c r="D126" s="5">
        <v>0</v>
      </c>
      <c r="E126" s="4" t="s">
        <v>196</v>
      </c>
      <c r="F126" s="9">
        <v>0</v>
      </c>
      <c r="G126" s="4"/>
      <c r="H126" s="6">
        <v>31.9</v>
      </c>
      <c r="I126" s="9">
        <v>0</v>
      </c>
    </row>
    <row r="127" spans="1:9" x14ac:dyDescent="0.25">
      <c r="A127" s="2" t="s">
        <v>248</v>
      </c>
      <c r="B127" s="2">
        <v>2024</v>
      </c>
      <c r="C127" s="3">
        <v>13281710</v>
      </c>
      <c r="D127" s="3">
        <v>0</v>
      </c>
      <c r="E127" s="2" t="s">
        <v>196</v>
      </c>
      <c r="F127" s="8">
        <v>0</v>
      </c>
      <c r="G127" s="7">
        <v>-100</v>
      </c>
      <c r="H127" s="6">
        <v>89.6</v>
      </c>
      <c r="I127" s="9">
        <v>0</v>
      </c>
    </row>
    <row r="128" spans="1:9" x14ac:dyDescent="0.25">
      <c r="A128" s="4" t="s">
        <v>248</v>
      </c>
      <c r="B128" s="4">
        <v>2025</v>
      </c>
      <c r="C128" s="5">
        <v>11333252</v>
      </c>
      <c r="D128" s="5">
        <v>0</v>
      </c>
      <c r="E128" s="4" t="s">
        <v>196</v>
      </c>
      <c r="F128" s="9">
        <v>0</v>
      </c>
      <c r="G128" s="4"/>
      <c r="H128" s="7">
        <v>-14.7</v>
      </c>
      <c r="I128" s="9">
        <v>0</v>
      </c>
    </row>
    <row r="129" spans="1:9" x14ac:dyDescent="0.25">
      <c r="A129" s="2" t="s">
        <v>22</v>
      </c>
      <c r="B129" s="2">
        <v>2025</v>
      </c>
      <c r="C129" s="3">
        <v>801134919</v>
      </c>
      <c r="D129" s="3">
        <v>367778763</v>
      </c>
      <c r="E129" s="2" t="s">
        <v>135</v>
      </c>
      <c r="F129" s="8">
        <v>45.9</v>
      </c>
      <c r="G129" s="6">
        <v>8</v>
      </c>
      <c r="H129" s="6">
        <v>5</v>
      </c>
      <c r="I129" s="6">
        <v>1.3</v>
      </c>
    </row>
    <row r="130" spans="1:9" x14ac:dyDescent="0.25">
      <c r="A130" s="4" t="s">
        <v>22</v>
      </c>
      <c r="B130" s="4">
        <v>2024</v>
      </c>
      <c r="C130" s="5">
        <v>763068100</v>
      </c>
      <c r="D130" s="5">
        <v>340657017</v>
      </c>
      <c r="E130" s="4" t="s">
        <v>135</v>
      </c>
      <c r="F130" s="9">
        <v>44.6</v>
      </c>
      <c r="G130" s="6">
        <v>9.4</v>
      </c>
      <c r="H130" s="6">
        <v>0.1</v>
      </c>
      <c r="I130" s="6">
        <v>3.8</v>
      </c>
    </row>
    <row r="131" spans="1:9" x14ac:dyDescent="0.25">
      <c r="A131" s="2" t="s">
        <v>23</v>
      </c>
      <c r="B131" s="2">
        <v>2024</v>
      </c>
      <c r="C131" s="3">
        <v>458823080</v>
      </c>
      <c r="D131" s="3">
        <v>331417218</v>
      </c>
      <c r="E131" s="2" t="s">
        <v>135</v>
      </c>
      <c r="F131" s="8">
        <v>72.2</v>
      </c>
      <c r="G131" s="6">
        <v>12.9</v>
      </c>
      <c r="H131" s="6">
        <v>7.9</v>
      </c>
      <c r="I131" s="6">
        <v>3.2</v>
      </c>
    </row>
    <row r="132" spans="1:9" x14ac:dyDescent="0.25">
      <c r="A132" s="4" t="s">
        <v>22</v>
      </c>
      <c r="B132" s="4">
        <v>2023</v>
      </c>
      <c r="C132" s="5">
        <v>762239231</v>
      </c>
      <c r="D132" s="5">
        <v>311299909</v>
      </c>
      <c r="E132" s="4" t="s">
        <v>135</v>
      </c>
      <c r="F132" s="9">
        <v>40.799999999999997</v>
      </c>
      <c r="G132" s="4"/>
      <c r="H132" s="4"/>
      <c r="I132" s="4"/>
    </row>
    <row r="133" spans="1:9" x14ac:dyDescent="0.25">
      <c r="A133" s="2" t="s">
        <v>23</v>
      </c>
      <c r="B133" s="2">
        <v>2023</v>
      </c>
      <c r="C133" s="3">
        <v>425061339</v>
      </c>
      <c r="D133" s="3">
        <v>293467151</v>
      </c>
      <c r="E133" s="2" t="s">
        <v>135</v>
      </c>
      <c r="F133" s="8">
        <v>69</v>
      </c>
      <c r="G133" s="2"/>
      <c r="H133" s="2"/>
      <c r="I133" s="2"/>
    </row>
    <row r="134" spans="1:9" x14ac:dyDescent="0.25">
      <c r="A134" s="4" t="s">
        <v>23</v>
      </c>
      <c r="B134" s="4">
        <v>2025</v>
      </c>
      <c r="C134" s="5">
        <v>338621568</v>
      </c>
      <c r="D134" s="5">
        <v>254412297</v>
      </c>
      <c r="E134" s="4" t="s">
        <v>135</v>
      </c>
      <c r="F134" s="9">
        <v>75.099999999999994</v>
      </c>
      <c r="G134" s="7">
        <v>-23.2</v>
      </c>
      <c r="H134" s="7">
        <v>-26.2</v>
      </c>
      <c r="I134" s="6">
        <v>2.9</v>
      </c>
    </row>
    <row r="135" spans="1:9" x14ac:dyDescent="0.25">
      <c r="A135" s="2" t="s">
        <v>25</v>
      </c>
      <c r="B135" s="2">
        <v>2024</v>
      </c>
      <c r="C135" s="3">
        <v>837232655</v>
      </c>
      <c r="D135" s="3">
        <v>253476658</v>
      </c>
      <c r="E135" s="2" t="s">
        <v>135</v>
      </c>
      <c r="F135" s="8">
        <v>30.3</v>
      </c>
      <c r="G135" s="6">
        <v>18.899999999999999</v>
      </c>
      <c r="H135" s="6">
        <v>20.399999999999999</v>
      </c>
      <c r="I135" s="7">
        <v>-0.4</v>
      </c>
    </row>
    <row r="136" spans="1:9" x14ac:dyDescent="0.25">
      <c r="A136" s="4" t="s">
        <v>25</v>
      </c>
      <c r="B136" s="4">
        <v>2025</v>
      </c>
      <c r="C136" s="5">
        <v>769784007</v>
      </c>
      <c r="D136" s="5">
        <v>240007295</v>
      </c>
      <c r="E136" s="4" t="s">
        <v>135</v>
      </c>
      <c r="F136" s="9">
        <v>31.2</v>
      </c>
      <c r="G136" s="7">
        <v>-5.3</v>
      </c>
      <c r="H136" s="7">
        <v>-8.1</v>
      </c>
      <c r="I136" s="6">
        <v>0.9</v>
      </c>
    </row>
    <row r="137" spans="1:9" x14ac:dyDescent="0.25">
      <c r="A137" s="2" t="s">
        <v>25</v>
      </c>
      <c r="B137" s="2">
        <v>2023</v>
      </c>
      <c r="C137" s="3">
        <v>695280937</v>
      </c>
      <c r="D137" s="3">
        <v>213167588</v>
      </c>
      <c r="E137" s="2" t="s">
        <v>135</v>
      </c>
      <c r="F137" s="8">
        <v>30.7</v>
      </c>
      <c r="G137" s="2"/>
      <c r="H137" s="2"/>
      <c r="I137" s="2"/>
    </row>
    <row r="138" spans="1:9" x14ac:dyDescent="0.25">
      <c r="A138" s="4" t="s">
        <v>27</v>
      </c>
      <c r="B138" s="4">
        <v>2024</v>
      </c>
      <c r="C138" s="5">
        <v>621114264</v>
      </c>
      <c r="D138" s="5">
        <v>129425135</v>
      </c>
      <c r="E138" s="4" t="s">
        <v>135</v>
      </c>
      <c r="F138" s="9">
        <v>20.8</v>
      </c>
      <c r="G138" s="6">
        <v>22.2</v>
      </c>
      <c r="H138" s="6">
        <v>0.6</v>
      </c>
      <c r="I138" s="6">
        <v>3.7</v>
      </c>
    </row>
    <row r="139" spans="1:9" x14ac:dyDescent="0.25">
      <c r="A139" s="2" t="s">
        <v>27</v>
      </c>
      <c r="B139" s="2">
        <v>2023</v>
      </c>
      <c r="C139" s="3">
        <v>617711038</v>
      </c>
      <c r="D139" s="3">
        <v>105893194</v>
      </c>
      <c r="E139" s="2" t="s">
        <v>135</v>
      </c>
      <c r="F139" s="8">
        <v>17.100000000000001</v>
      </c>
      <c r="G139" s="2"/>
      <c r="H139" s="2"/>
      <c r="I139" s="2"/>
    </row>
    <row r="140" spans="1:9" x14ac:dyDescent="0.25">
      <c r="A140" s="4" t="s">
        <v>29</v>
      </c>
      <c r="B140" s="4">
        <v>2024</v>
      </c>
      <c r="C140" s="5">
        <v>297851798</v>
      </c>
      <c r="D140" s="5">
        <v>90592729</v>
      </c>
      <c r="E140" s="4" t="s">
        <v>135</v>
      </c>
      <c r="F140" s="9">
        <v>30.4</v>
      </c>
      <c r="G140" s="6">
        <v>45.1</v>
      </c>
      <c r="H140" s="6">
        <v>34.4</v>
      </c>
      <c r="I140" s="6">
        <v>2.2000000000000002</v>
      </c>
    </row>
    <row r="141" spans="1:9" x14ac:dyDescent="0.25">
      <c r="A141" s="2" t="s">
        <v>27</v>
      </c>
      <c r="B141" s="2">
        <v>2025</v>
      </c>
      <c r="C141" s="3">
        <v>494486667</v>
      </c>
      <c r="D141" s="3">
        <v>84191095</v>
      </c>
      <c r="E141" s="2" t="s">
        <v>135</v>
      </c>
      <c r="F141" s="8">
        <v>17</v>
      </c>
      <c r="G141" s="7">
        <v>-34.9</v>
      </c>
      <c r="H141" s="7">
        <v>-20.399999999999999</v>
      </c>
      <c r="I141" s="7">
        <v>-3.8</v>
      </c>
    </row>
    <row r="142" spans="1:9" x14ac:dyDescent="0.25">
      <c r="A142" s="4" t="s">
        <v>29</v>
      </c>
      <c r="B142" s="4">
        <v>2025</v>
      </c>
      <c r="C142" s="5">
        <v>305670696</v>
      </c>
      <c r="D142" s="5">
        <v>80542238</v>
      </c>
      <c r="E142" s="4" t="s">
        <v>135</v>
      </c>
      <c r="F142" s="9">
        <v>26.3</v>
      </c>
      <c r="G142" s="7">
        <v>-11.1</v>
      </c>
      <c r="H142" s="6">
        <v>2.6</v>
      </c>
      <c r="I142" s="7">
        <v>-4.0999999999999996</v>
      </c>
    </row>
    <row r="143" spans="1:9" x14ac:dyDescent="0.25">
      <c r="A143" s="2" t="s">
        <v>29</v>
      </c>
      <c r="B143" s="2">
        <v>2023</v>
      </c>
      <c r="C143" s="3">
        <v>221654221</v>
      </c>
      <c r="D143" s="3">
        <v>62423423</v>
      </c>
      <c r="E143" s="2" t="s">
        <v>135</v>
      </c>
      <c r="F143" s="8">
        <v>28.2</v>
      </c>
      <c r="G143" s="2"/>
      <c r="H143" s="2"/>
      <c r="I143" s="2"/>
    </row>
    <row r="144" spans="1:9" x14ac:dyDescent="0.25">
      <c r="A144" s="4" t="s">
        <v>32</v>
      </c>
      <c r="B144" s="4">
        <v>2024</v>
      </c>
      <c r="C144" s="5">
        <v>158360574</v>
      </c>
      <c r="D144" s="5">
        <v>46782089</v>
      </c>
      <c r="E144" s="4" t="s">
        <v>135</v>
      </c>
      <c r="F144" s="9">
        <v>29.5</v>
      </c>
      <c r="G144" s="6">
        <v>79.5</v>
      </c>
      <c r="H144" s="6">
        <v>20.2</v>
      </c>
      <c r="I144" s="6">
        <v>9.6999999999999993</v>
      </c>
    </row>
    <row r="145" spans="1:9" x14ac:dyDescent="0.25">
      <c r="A145" s="2" t="s">
        <v>31</v>
      </c>
      <c r="B145" s="2">
        <v>2025</v>
      </c>
      <c r="C145" s="3">
        <v>178496203</v>
      </c>
      <c r="D145" s="3">
        <v>43544119</v>
      </c>
      <c r="E145" s="2" t="s">
        <v>135</v>
      </c>
      <c r="F145" s="8">
        <v>24.4</v>
      </c>
      <c r="G145" s="6">
        <v>26.2</v>
      </c>
      <c r="H145" s="7">
        <v>-26.7</v>
      </c>
      <c r="I145" s="6">
        <v>10.199999999999999</v>
      </c>
    </row>
    <row r="146" spans="1:9" x14ac:dyDescent="0.25">
      <c r="A146" s="4" t="s">
        <v>32</v>
      </c>
      <c r="B146" s="4">
        <v>2025</v>
      </c>
      <c r="C146" s="5">
        <v>145902352</v>
      </c>
      <c r="D146" s="5">
        <v>38287029</v>
      </c>
      <c r="E146" s="4" t="s">
        <v>135</v>
      </c>
      <c r="F146" s="9">
        <v>26.2</v>
      </c>
      <c r="G146" s="7">
        <v>-18.2</v>
      </c>
      <c r="H146" s="7">
        <v>-7.9</v>
      </c>
      <c r="I146" s="7">
        <v>-3.3</v>
      </c>
    </row>
    <row r="147" spans="1:9" x14ac:dyDescent="0.25">
      <c r="A147" s="2" t="s">
        <v>31</v>
      </c>
      <c r="B147" s="2">
        <v>2024</v>
      </c>
      <c r="C147" s="3">
        <v>243407215</v>
      </c>
      <c r="D147" s="3">
        <v>34507414</v>
      </c>
      <c r="E147" s="2" t="s">
        <v>135</v>
      </c>
      <c r="F147" s="8">
        <v>14.2</v>
      </c>
      <c r="G147" s="6">
        <v>0.6</v>
      </c>
      <c r="H147" s="7">
        <v>-9.1</v>
      </c>
      <c r="I147" s="6">
        <v>1.4</v>
      </c>
    </row>
    <row r="148" spans="1:9" x14ac:dyDescent="0.25">
      <c r="A148" s="4" t="s">
        <v>31</v>
      </c>
      <c r="B148" s="4">
        <v>2023</v>
      </c>
      <c r="C148" s="5">
        <v>267917402</v>
      </c>
      <c r="D148" s="5">
        <v>34285443</v>
      </c>
      <c r="E148" s="4" t="s">
        <v>135</v>
      </c>
      <c r="F148" s="9">
        <v>12.8</v>
      </c>
      <c r="G148" s="4"/>
      <c r="H148" s="4"/>
      <c r="I148" s="4"/>
    </row>
    <row r="149" spans="1:9" x14ac:dyDescent="0.25">
      <c r="A149" s="2" t="s">
        <v>37</v>
      </c>
      <c r="B149" s="2">
        <v>2025</v>
      </c>
      <c r="C149" s="3">
        <v>37831891</v>
      </c>
      <c r="D149" s="3">
        <v>26241247</v>
      </c>
      <c r="E149" s="2" t="s">
        <v>135</v>
      </c>
      <c r="F149" s="8">
        <v>69.400000000000006</v>
      </c>
      <c r="G149" s="6">
        <v>7.6</v>
      </c>
      <c r="H149" s="6">
        <v>11</v>
      </c>
      <c r="I149" s="7">
        <v>-2.2000000000000002</v>
      </c>
    </row>
    <row r="150" spans="1:9" x14ac:dyDescent="0.25">
      <c r="A150" s="4" t="s">
        <v>32</v>
      </c>
      <c r="B150" s="4">
        <v>2023</v>
      </c>
      <c r="C150" s="5">
        <v>131755673</v>
      </c>
      <c r="D150" s="5">
        <v>26060389</v>
      </c>
      <c r="E150" s="4" t="s">
        <v>135</v>
      </c>
      <c r="F150" s="9">
        <v>19.8</v>
      </c>
      <c r="G150" s="4"/>
      <c r="H150" s="4"/>
      <c r="I150" s="4"/>
    </row>
    <row r="151" spans="1:9" x14ac:dyDescent="0.25">
      <c r="A151" s="2" t="s">
        <v>37</v>
      </c>
      <c r="B151" s="2">
        <v>2024</v>
      </c>
      <c r="C151" s="3">
        <v>34095026</v>
      </c>
      <c r="D151" s="3">
        <v>24396855</v>
      </c>
      <c r="E151" s="2" t="s">
        <v>135</v>
      </c>
      <c r="F151" s="8">
        <v>71.599999999999994</v>
      </c>
      <c r="G151" s="6">
        <v>44</v>
      </c>
      <c r="H151" s="6">
        <v>15</v>
      </c>
      <c r="I151" s="6">
        <v>14.5</v>
      </c>
    </row>
    <row r="152" spans="1:9" x14ac:dyDescent="0.25">
      <c r="A152" s="4" t="s">
        <v>35</v>
      </c>
      <c r="B152" s="4">
        <v>2023</v>
      </c>
      <c r="C152" s="5">
        <v>17179931</v>
      </c>
      <c r="D152" s="5">
        <v>17091616</v>
      </c>
      <c r="E152" s="4" t="s">
        <v>135</v>
      </c>
      <c r="F152" s="9">
        <v>99.5</v>
      </c>
      <c r="G152" s="4"/>
      <c r="H152" s="4"/>
      <c r="I152" s="4"/>
    </row>
    <row r="153" spans="1:9" x14ac:dyDescent="0.25">
      <c r="A153" s="2" t="s">
        <v>37</v>
      </c>
      <c r="B153" s="2">
        <v>2023</v>
      </c>
      <c r="C153" s="3">
        <v>29647570</v>
      </c>
      <c r="D153" s="3">
        <v>16943121</v>
      </c>
      <c r="E153" s="2" t="s">
        <v>135</v>
      </c>
      <c r="F153" s="8">
        <v>57.1</v>
      </c>
      <c r="G153" s="2"/>
      <c r="H153" s="2"/>
      <c r="I153" s="2"/>
    </row>
    <row r="154" spans="1:9" x14ac:dyDescent="0.25">
      <c r="A154" s="4" t="s">
        <v>35</v>
      </c>
      <c r="B154" s="4">
        <v>2024</v>
      </c>
      <c r="C154" s="5">
        <v>16633060</v>
      </c>
      <c r="D154" s="5">
        <v>16474355</v>
      </c>
      <c r="E154" s="4" t="s">
        <v>135</v>
      </c>
      <c r="F154" s="9">
        <v>99</v>
      </c>
      <c r="G154" s="7">
        <v>-3.6</v>
      </c>
      <c r="H154" s="7">
        <v>-3.2</v>
      </c>
      <c r="I154" s="7">
        <v>-0.5</v>
      </c>
    </row>
    <row r="155" spans="1:9" x14ac:dyDescent="0.25">
      <c r="A155" s="2" t="s">
        <v>41</v>
      </c>
      <c r="B155" s="2">
        <v>2024</v>
      </c>
      <c r="C155" s="3">
        <v>23041313</v>
      </c>
      <c r="D155" s="3">
        <v>13112707</v>
      </c>
      <c r="E155" s="2" t="s">
        <v>135</v>
      </c>
      <c r="F155" s="8">
        <v>56.9</v>
      </c>
      <c r="G155" s="6">
        <v>53.9</v>
      </c>
      <c r="H155" s="6">
        <v>15.8</v>
      </c>
      <c r="I155" s="6">
        <v>14.1</v>
      </c>
    </row>
    <row r="156" spans="1:9" x14ac:dyDescent="0.25">
      <c r="A156" s="4" t="s">
        <v>41</v>
      </c>
      <c r="B156" s="4">
        <v>2025</v>
      </c>
      <c r="C156" s="5">
        <v>23090895</v>
      </c>
      <c r="D156" s="5">
        <v>12920187</v>
      </c>
      <c r="E156" s="4" t="s">
        <v>135</v>
      </c>
      <c r="F156" s="9">
        <v>56</v>
      </c>
      <c r="G156" s="7">
        <v>-1.5</v>
      </c>
      <c r="H156" s="6">
        <v>0.2</v>
      </c>
      <c r="I156" s="7">
        <v>-0.9</v>
      </c>
    </row>
    <row r="157" spans="1:9" x14ac:dyDescent="0.25">
      <c r="A157" s="2" t="s">
        <v>38</v>
      </c>
      <c r="B157" s="2">
        <v>2023</v>
      </c>
      <c r="C157" s="3">
        <v>22835548</v>
      </c>
      <c r="D157" s="3">
        <v>12739892</v>
      </c>
      <c r="E157" s="2" t="s">
        <v>135</v>
      </c>
      <c r="F157" s="8">
        <v>55.8</v>
      </c>
      <c r="G157" s="2"/>
      <c r="H157" s="2"/>
      <c r="I157" s="2"/>
    </row>
    <row r="158" spans="1:9" x14ac:dyDescent="0.25">
      <c r="A158" s="4" t="s">
        <v>38</v>
      </c>
      <c r="B158" s="4">
        <v>2024</v>
      </c>
      <c r="C158" s="5">
        <v>21729331</v>
      </c>
      <c r="D158" s="5">
        <v>10747434</v>
      </c>
      <c r="E158" s="4" t="s">
        <v>135</v>
      </c>
      <c r="F158" s="9">
        <v>49.5</v>
      </c>
      <c r="G158" s="7">
        <v>-15.6</v>
      </c>
      <c r="H158" s="7">
        <v>-4.8</v>
      </c>
      <c r="I158" s="7">
        <v>-6.3</v>
      </c>
    </row>
    <row r="159" spans="1:9" x14ac:dyDescent="0.25">
      <c r="A159" s="2" t="s">
        <v>35</v>
      </c>
      <c r="B159" s="2">
        <v>2025</v>
      </c>
      <c r="C159" s="3">
        <v>10096152</v>
      </c>
      <c r="D159" s="3">
        <v>9975457</v>
      </c>
      <c r="E159" s="2" t="s">
        <v>135</v>
      </c>
      <c r="F159" s="8">
        <v>98.8</v>
      </c>
      <c r="G159" s="7">
        <v>-39.4</v>
      </c>
      <c r="H159" s="7">
        <v>-39.299999999999997</v>
      </c>
      <c r="I159" s="7">
        <v>-0.2</v>
      </c>
    </row>
    <row r="160" spans="1:9" x14ac:dyDescent="0.25">
      <c r="A160" s="4" t="s">
        <v>41</v>
      </c>
      <c r="B160" s="4">
        <v>2023</v>
      </c>
      <c r="C160" s="5">
        <v>19903832</v>
      </c>
      <c r="D160" s="5">
        <v>8517567</v>
      </c>
      <c r="E160" s="4" t="s">
        <v>135</v>
      </c>
      <c r="F160" s="9">
        <v>42.8</v>
      </c>
      <c r="G160" s="4"/>
      <c r="H160" s="4"/>
      <c r="I160" s="4"/>
    </row>
    <row r="161" spans="1:9" x14ac:dyDescent="0.25">
      <c r="A161" s="2" t="s">
        <v>38</v>
      </c>
      <c r="B161" s="2">
        <v>2025</v>
      </c>
      <c r="C161" s="3">
        <v>17633637</v>
      </c>
      <c r="D161" s="3">
        <v>8387378</v>
      </c>
      <c r="E161" s="2" t="s">
        <v>135</v>
      </c>
      <c r="F161" s="8">
        <v>47.6</v>
      </c>
      <c r="G161" s="7">
        <v>-22</v>
      </c>
      <c r="H161" s="7">
        <v>-18.8</v>
      </c>
      <c r="I161" s="7">
        <v>-1.9</v>
      </c>
    </row>
    <row r="162" spans="1:9" x14ac:dyDescent="0.25">
      <c r="A162" s="4" t="s">
        <v>251</v>
      </c>
      <c r="B162" s="4">
        <v>2025</v>
      </c>
      <c r="C162" s="5">
        <v>5777350</v>
      </c>
      <c r="D162" s="5">
        <v>2827116</v>
      </c>
      <c r="E162" s="4" t="s">
        <v>135</v>
      </c>
      <c r="F162" s="9">
        <v>48.9</v>
      </c>
      <c r="G162" s="6">
        <v>36.6</v>
      </c>
      <c r="H162" s="6">
        <v>18.100000000000001</v>
      </c>
      <c r="I162" s="6">
        <v>6.6</v>
      </c>
    </row>
    <row r="163" spans="1:9" x14ac:dyDescent="0.25">
      <c r="A163" s="2" t="s">
        <v>251</v>
      </c>
      <c r="B163" s="2">
        <v>2024</v>
      </c>
      <c r="C163" s="3">
        <v>4892423</v>
      </c>
      <c r="D163" s="3">
        <v>2069715</v>
      </c>
      <c r="E163" s="2" t="s">
        <v>135</v>
      </c>
      <c r="F163" s="8">
        <v>42.3</v>
      </c>
      <c r="G163" s="6">
        <v>30.3</v>
      </c>
      <c r="H163" s="6">
        <v>30.4</v>
      </c>
      <c r="I163" s="9">
        <v>0</v>
      </c>
    </row>
    <row r="164" spans="1:9" x14ac:dyDescent="0.25">
      <c r="A164" s="4" t="s">
        <v>251</v>
      </c>
      <c r="B164" s="4">
        <v>2023</v>
      </c>
      <c r="C164" s="5">
        <v>3752336</v>
      </c>
      <c r="D164" s="5">
        <v>1588495</v>
      </c>
      <c r="E164" s="4" t="s">
        <v>135</v>
      </c>
      <c r="F164" s="9">
        <v>42.3</v>
      </c>
      <c r="G164" s="4"/>
      <c r="H164" s="4"/>
      <c r="I164" s="4"/>
    </row>
    <row r="165" spans="1:9" x14ac:dyDescent="0.25">
      <c r="A165" s="2" t="s">
        <v>22</v>
      </c>
      <c r="B165" s="2">
        <v>2025</v>
      </c>
      <c r="C165" s="3">
        <v>801134919</v>
      </c>
      <c r="D165" s="3">
        <v>367778763</v>
      </c>
      <c r="E165" s="2" t="s">
        <v>197</v>
      </c>
      <c r="F165" s="8">
        <v>45.9</v>
      </c>
      <c r="G165" s="6">
        <v>8</v>
      </c>
      <c r="H165" s="6">
        <v>5</v>
      </c>
      <c r="I165" s="6">
        <v>1.3</v>
      </c>
    </row>
    <row r="166" spans="1:9" x14ac:dyDescent="0.25">
      <c r="A166" s="4" t="s">
        <v>22</v>
      </c>
      <c r="B166" s="4">
        <v>2024</v>
      </c>
      <c r="C166" s="5">
        <v>763068100</v>
      </c>
      <c r="D166" s="5">
        <v>340657017</v>
      </c>
      <c r="E166" s="4" t="s">
        <v>197</v>
      </c>
      <c r="F166" s="9">
        <v>44.6</v>
      </c>
      <c r="G166" s="6">
        <v>9.4</v>
      </c>
      <c r="H166" s="6">
        <v>0.1</v>
      </c>
      <c r="I166" s="6">
        <v>3.8</v>
      </c>
    </row>
    <row r="167" spans="1:9" x14ac:dyDescent="0.25">
      <c r="A167" s="2" t="s">
        <v>23</v>
      </c>
      <c r="B167" s="2">
        <v>2024</v>
      </c>
      <c r="C167" s="3">
        <v>458823080</v>
      </c>
      <c r="D167" s="3">
        <v>331417218</v>
      </c>
      <c r="E167" s="2" t="s">
        <v>197</v>
      </c>
      <c r="F167" s="8">
        <v>72.2</v>
      </c>
      <c r="G167" s="6">
        <v>12.9</v>
      </c>
      <c r="H167" s="6">
        <v>7.9</v>
      </c>
      <c r="I167" s="6">
        <v>3.2</v>
      </c>
    </row>
    <row r="168" spans="1:9" x14ac:dyDescent="0.25">
      <c r="A168" s="4" t="s">
        <v>22</v>
      </c>
      <c r="B168" s="4">
        <v>2023</v>
      </c>
      <c r="C168" s="5">
        <v>762239231</v>
      </c>
      <c r="D168" s="5">
        <v>311299909</v>
      </c>
      <c r="E168" s="4" t="s">
        <v>197</v>
      </c>
      <c r="F168" s="9">
        <v>40.799999999999997</v>
      </c>
      <c r="G168" s="4"/>
      <c r="H168" s="4"/>
      <c r="I168" s="4"/>
    </row>
    <row r="169" spans="1:9" x14ac:dyDescent="0.25">
      <c r="A169" s="2" t="s">
        <v>23</v>
      </c>
      <c r="B169" s="2">
        <v>2023</v>
      </c>
      <c r="C169" s="3">
        <v>425061339</v>
      </c>
      <c r="D169" s="3">
        <v>293467151</v>
      </c>
      <c r="E169" s="2" t="s">
        <v>197</v>
      </c>
      <c r="F169" s="8">
        <v>69</v>
      </c>
      <c r="G169" s="2"/>
      <c r="H169" s="2"/>
      <c r="I169" s="2"/>
    </row>
    <row r="170" spans="1:9" x14ac:dyDescent="0.25">
      <c r="A170" s="4" t="s">
        <v>23</v>
      </c>
      <c r="B170" s="4">
        <v>2025</v>
      </c>
      <c r="C170" s="5">
        <v>338621568</v>
      </c>
      <c r="D170" s="5">
        <v>254412297</v>
      </c>
      <c r="E170" s="4" t="s">
        <v>197</v>
      </c>
      <c r="F170" s="9">
        <v>75.099999999999994</v>
      </c>
      <c r="G170" s="7">
        <v>-23.2</v>
      </c>
      <c r="H170" s="7">
        <v>-26.2</v>
      </c>
      <c r="I170" s="6">
        <v>2.9</v>
      </c>
    </row>
    <row r="171" spans="1:9" x14ac:dyDescent="0.25">
      <c r="A171" s="2" t="s">
        <v>25</v>
      </c>
      <c r="B171" s="2">
        <v>2024</v>
      </c>
      <c r="C171" s="3">
        <v>837232655</v>
      </c>
      <c r="D171" s="3">
        <v>253476658</v>
      </c>
      <c r="E171" s="2" t="s">
        <v>197</v>
      </c>
      <c r="F171" s="8">
        <v>30.3</v>
      </c>
      <c r="G171" s="6">
        <v>18.899999999999999</v>
      </c>
      <c r="H171" s="6">
        <v>20.399999999999999</v>
      </c>
      <c r="I171" s="7">
        <v>-0.4</v>
      </c>
    </row>
    <row r="172" spans="1:9" x14ac:dyDescent="0.25">
      <c r="A172" s="4" t="s">
        <v>24</v>
      </c>
      <c r="B172" s="4">
        <v>2023</v>
      </c>
      <c r="C172" s="5">
        <v>641173238</v>
      </c>
      <c r="D172" s="5">
        <v>241805339</v>
      </c>
      <c r="E172" s="4" t="s">
        <v>197</v>
      </c>
      <c r="F172" s="9">
        <v>37.700000000000003</v>
      </c>
      <c r="G172" s="4"/>
      <c r="H172" s="4"/>
      <c r="I172" s="4"/>
    </row>
    <row r="173" spans="1:9" x14ac:dyDescent="0.25">
      <c r="A173" s="2" t="s">
        <v>25</v>
      </c>
      <c r="B173" s="2">
        <v>2025</v>
      </c>
      <c r="C173" s="3">
        <v>769784007</v>
      </c>
      <c r="D173" s="3">
        <v>240007295</v>
      </c>
      <c r="E173" s="2" t="s">
        <v>197</v>
      </c>
      <c r="F173" s="8">
        <v>31.2</v>
      </c>
      <c r="G173" s="7">
        <v>-5.3</v>
      </c>
      <c r="H173" s="7">
        <v>-8.1</v>
      </c>
      <c r="I173" s="6">
        <v>0.9</v>
      </c>
    </row>
    <row r="174" spans="1:9" x14ac:dyDescent="0.25">
      <c r="A174" s="4" t="s">
        <v>24</v>
      </c>
      <c r="B174" s="4">
        <v>2025</v>
      </c>
      <c r="C174" s="5">
        <v>660743532</v>
      </c>
      <c r="D174" s="5">
        <v>239820573</v>
      </c>
      <c r="E174" s="4" t="s">
        <v>197</v>
      </c>
      <c r="F174" s="9">
        <v>36.299999999999997</v>
      </c>
      <c r="G174" s="6">
        <v>0.2</v>
      </c>
      <c r="H174" s="7">
        <v>-1.1000000000000001</v>
      </c>
      <c r="I174" s="6">
        <v>0.5</v>
      </c>
    </row>
    <row r="175" spans="1:9" x14ac:dyDescent="0.25">
      <c r="A175" s="2" t="s">
        <v>24</v>
      </c>
      <c r="B175" s="2">
        <v>2024</v>
      </c>
      <c r="C175" s="3">
        <v>668149897</v>
      </c>
      <c r="D175" s="3">
        <v>239359969</v>
      </c>
      <c r="E175" s="2" t="s">
        <v>197</v>
      </c>
      <c r="F175" s="8">
        <v>35.799999999999997</v>
      </c>
      <c r="G175" s="7">
        <v>-1</v>
      </c>
      <c r="H175" s="6">
        <v>4.2</v>
      </c>
      <c r="I175" s="7">
        <v>-1.9</v>
      </c>
    </row>
    <row r="176" spans="1:9" x14ac:dyDescent="0.25">
      <c r="A176" s="4" t="s">
        <v>25</v>
      </c>
      <c r="B176" s="4">
        <v>2023</v>
      </c>
      <c r="C176" s="5">
        <v>695280937</v>
      </c>
      <c r="D176" s="5">
        <v>213167588</v>
      </c>
      <c r="E176" s="4" t="s">
        <v>197</v>
      </c>
      <c r="F176" s="9">
        <v>30.7</v>
      </c>
      <c r="G176" s="4"/>
      <c r="H176" s="4"/>
      <c r="I176" s="4"/>
    </row>
    <row r="177" spans="1:9" x14ac:dyDescent="0.25">
      <c r="A177" s="2" t="s">
        <v>27</v>
      </c>
      <c r="B177" s="2">
        <v>2024</v>
      </c>
      <c r="C177" s="3">
        <v>621114264</v>
      </c>
      <c r="D177" s="3">
        <v>129425135</v>
      </c>
      <c r="E177" s="2" t="s">
        <v>197</v>
      </c>
      <c r="F177" s="8">
        <v>20.8</v>
      </c>
      <c r="G177" s="6">
        <v>22.2</v>
      </c>
      <c r="H177" s="6">
        <v>0.6</v>
      </c>
      <c r="I177" s="6">
        <v>3.7</v>
      </c>
    </row>
    <row r="178" spans="1:9" x14ac:dyDescent="0.25">
      <c r="A178" s="4" t="s">
        <v>27</v>
      </c>
      <c r="B178" s="4">
        <v>2023</v>
      </c>
      <c r="C178" s="5">
        <v>617711038</v>
      </c>
      <c r="D178" s="5">
        <v>105893194</v>
      </c>
      <c r="E178" s="4" t="s">
        <v>197</v>
      </c>
      <c r="F178" s="9">
        <v>17.100000000000001</v>
      </c>
      <c r="G178" s="4"/>
      <c r="H178" s="4"/>
      <c r="I178" s="4"/>
    </row>
    <row r="179" spans="1:9" x14ac:dyDescent="0.25">
      <c r="A179" s="2" t="s">
        <v>29</v>
      </c>
      <c r="B179" s="2">
        <v>2024</v>
      </c>
      <c r="C179" s="3">
        <v>297851798</v>
      </c>
      <c r="D179" s="3">
        <v>90592729</v>
      </c>
      <c r="E179" s="2" t="s">
        <v>197</v>
      </c>
      <c r="F179" s="8">
        <v>30.4</v>
      </c>
      <c r="G179" s="6">
        <v>45.1</v>
      </c>
      <c r="H179" s="6">
        <v>34.4</v>
      </c>
      <c r="I179" s="6">
        <v>2.2000000000000002</v>
      </c>
    </row>
    <row r="180" spans="1:9" x14ac:dyDescent="0.25">
      <c r="A180" s="4" t="s">
        <v>27</v>
      </c>
      <c r="B180" s="4">
        <v>2025</v>
      </c>
      <c r="C180" s="5">
        <v>494486667</v>
      </c>
      <c r="D180" s="5">
        <v>84191095</v>
      </c>
      <c r="E180" s="4" t="s">
        <v>197</v>
      </c>
      <c r="F180" s="9">
        <v>17</v>
      </c>
      <c r="G180" s="7">
        <v>-34.9</v>
      </c>
      <c r="H180" s="7">
        <v>-20.399999999999999</v>
      </c>
      <c r="I180" s="7">
        <v>-3.8</v>
      </c>
    </row>
    <row r="181" spans="1:9" x14ac:dyDescent="0.25">
      <c r="A181" s="2" t="s">
        <v>29</v>
      </c>
      <c r="B181" s="2">
        <v>2025</v>
      </c>
      <c r="C181" s="3">
        <v>305670696</v>
      </c>
      <c r="D181" s="3">
        <v>80542238</v>
      </c>
      <c r="E181" s="2" t="s">
        <v>197</v>
      </c>
      <c r="F181" s="8">
        <v>26.3</v>
      </c>
      <c r="G181" s="7">
        <v>-11.1</v>
      </c>
      <c r="H181" s="6">
        <v>2.6</v>
      </c>
      <c r="I181" s="7">
        <v>-4.0999999999999996</v>
      </c>
    </row>
    <row r="182" spans="1:9" x14ac:dyDescent="0.25">
      <c r="A182" s="4" t="s">
        <v>29</v>
      </c>
      <c r="B182" s="4">
        <v>2023</v>
      </c>
      <c r="C182" s="5">
        <v>221654221</v>
      </c>
      <c r="D182" s="5">
        <v>62423423</v>
      </c>
      <c r="E182" s="4" t="s">
        <v>197</v>
      </c>
      <c r="F182" s="9">
        <v>28.2</v>
      </c>
      <c r="G182" s="4"/>
      <c r="H182" s="4"/>
      <c r="I182" s="4"/>
    </row>
    <row r="183" spans="1:9" x14ac:dyDescent="0.25">
      <c r="A183" s="2" t="s">
        <v>32</v>
      </c>
      <c r="B183" s="2">
        <v>2024</v>
      </c>
      <c r="C183" s="3">
        <v>158360574</v>
      </c>
      <c r="D183" s="3">
        <v>46782089</v>
      </c>
      <c r="E183" s="2" t="s">
        <v>197</v>
      </c>
      <c r="F183" s="8">
        <v>29.5</v>
      </c>
      <c r="G183" s="6">
        <v>79.5</v>
      </c>
      <c r="H183" s="6">
        <v>20.2</v>
      </c>
      <c r="I183" s="6">
        <v>9.6999999999999993</v>
      </c>
    </row>
    <row r="184" spans="1:9" x14ac:dyDescent="0.25">
      <c r="A184" s="4" t="s">
        <v>31</v>
      </c>
      <c r="B184" s="4">
        <v>2025</v>
      </c>
      <c r="C184" s="5">
        <v>178496203</v>
      </c>
      <c r="D184" s="5">
        <v>43544119</v>
      </c>
      <c r="E184" s="4" t="s">
        <v>197</v>
      </c>
      <c r="F184" s="9">
        <v>24.4</v>
      </c>
      <c r="G184" s="6">
        <v>26.2</v>
      </c>
      <c r="H184" s="7">
        <v>-26.7</v>
      </c>
      <c r="I184" s="6">
        <v>10.199999999999999</v>
      </c>
    </row>
    <row r="185" spans="1:9" x14ac:dyDescent="0.25">
      <c r="A185" s="2" t="s">
        <v>32</v>
      </c>
      <c r="B185" s="2">
        <v>2025</v>
      </c>
      <c r="C185" s="3">
        <v>145902352</v>
      </c>
      <c r="D185" s="3">
        <v>38287029</v>
      </c>
      <c r="E185" s="2" t="s">
        <v>197</v>
      </c>
      <c r="F185" s="8">
        <v>26.2</v>
      </c>
      <c r="G185" s="7">
        <v>-18.2</v>
      </c>
      <c r="H185" s="7">
        <v>-7.9</v>
      </c>
      <c r="I185" s="7">
        <v>-3.3</v>
      </c>
    </row>
    <row r="186" spans="1:9" x14ac:dyDescent="0.25">
      <c r="A186" s="4" t="s">
        <v>31</v>
      </c>
      <c r="B186" s="4">
        <v>2024</v>
      </c>
      <c r="C186" s="5">
        <v>243407215</v>
      </c>
      <c r="D186" s="5">
        <v>34507414</v>
      </c>
      <c r="E186" s="4" t="s">
        <v>197</v>
      </c>
      <c r="F186" s="9">
        <v>14.2</v>
      </c>
      <c r="G186" s="6">
        <v>0.6</v>
      </c>
      <c r="H186" s="7">
        <v>-9.1</v>
      </c>
      <c r="I186" s="6">
        <v>1.4</v>
      </c>
    </row>
    <row r="187" spans="1:9" x14ac:dyDescent="0.25">
      <c r="A187" s="2" t="s">
        <v>31</v>
      </c>
      <c r="B187" s="2">
        <v>2023</v>
      </c>
      <c r="C187" s="3">
        <v>267917402</v>
      </c>
      <c r="D187" s="3">
        <v>34285443</v>
      </c>
      <c r="E187" s="2" t="s">
        <v>197</v>
      </c>
      <c r="F187" s="8">
        <v>12.8</v>
      </c>
      <c r="G187" s="2"/>
      <c r="H187" s="2"/>
      <c r="I187" s="2"/>
    </row>
    <row r="188" spans="1:9" x14ac:dyDescent="0.25">
      <c r="A188" s="4" t="s">
        <v>37</v>
      </c>
      <c r="B188" s="4">
        <v>2025</v>
      </c>
      <c r="C188" s="5">
        <v>37831891</v>
      </c>
      <c r="D188" s="5">
        <v>26241247</v>
      </c>
      <c r="E188" s="4" t="s">
        <v>197</v>
      </c>
      <c r="F188" s="9">
        <v>69.400000000000006</v>
      </c>
      <c r="G188" s="6">
        <v>7.6</v>
      </c>
      <c r="H188" s="6">
        <v>11</v>
      </c>
      <c r="I188" s="7">
        <v>-2.2000000000000002</v>
      </c>
    </row>
    <row r="189" spans="1:9" x14ac:dyDescent="0.25">
      <c r="A189" s="2" t="s">
        <v>32</v>
      </c>
      <c r="B189" s="2">
        <v>2023</v>
      </c>
      <c r="C189" s="3">
        <v>131755673</v>
      </c>
      <c r="D189" s="3">
        <v>26060389</v>
      </c>
      <c r="E189" s="2" t="s">
        <v>197</v>
      </c>
      <c r="F189" s="8">
        <v>19.8</v>
      </c>
      <c r="G189" s="2"/>
      <c r="H189" s="2"/>
      <c r="I189" s="2"/>
    </row>
    <row r="190" spans="1:9" x14ac:dyDescent="0.25">
      <c r="A190" s="4" t="s">
        <v>37</v>
      </c>
      <c r="B190" s="4">
        <v>2024</v>
      </c>
      <c r="C190" s="5">
        <v>34095026</v>
      </c>
      <c r="D190" s="5">
        <v>24396855</v>
      </c>
      <c r="E190" s="4" t="s">
        <v>197</v>
      </c>
      <c r="F190" s="9">
        <v>71.599999999999994</v>
      </c>
      <c r="G190" s="6">
        <v>44</v>
      </c>
      <c r="H190" s="6">
        <v>15</v>
      </c>
      <c r="I190" s="6">
        <v>14.5</v>
      </c>
    </row>
    <row r="191" spans="1:9" x14ac:dyDescent="0.25">
      <c r="A191" s="2" t="s">
        <v>35</v>
      </c>
      <c r="B191" s="2">
        <v>2023</v>
      </c>
      <c r="C191" s="3">
        <v>17179931</v>
      </c>
      <c r="D191" s="3">
        <v>17091616</v>
      </c>
      <c r="E191" s="2" t="s">
        <v>197</v>
      </c>
      <c r="F191" s="8">
        <v>99.5</v>
      </c>
      <c r="G191" s="2"/>
      <c r="H191" s="2"/>
      <c r="I191" s="2"/>
    </row>
    <row r="192" spans="1:9" x14ac:dyDescent="0.25">
      <c r="A192" s="4" t="s">
        <v>37</v>
      </c>
      <c r="B192" s="4">
        <v>2023</v>
      </c>
      <c r="C192" s="5">
        <v>29647570</v>
      </c>
      <c r="D192" s="5">
        <v>16943121</v>
      </c>
      <c r="E192" s="4" t="s">
        <v>197</v>
      </c>
      <c r="F192" s="9">
        <v>57.1</v>
      </c>
      <c r="G192" s="4"/>
      <c r="H192" s="4"/>
      <c r="I192" s="4"/>
    </row>
    <row r="193" spans="1:9" x14ac:dyDescent="0.25">
      <c r="A193" s="2" t="s">
        <v>35</v>
      </c>
      <c r="B193" s="2">
        <v>2024</v>
      </c>
      <c r="C193" s="3">
        <v>16633060</v>
      </c>
      <c r="D193" s="3">
        <v>16474355</v>
      </c>
      <c r="E193" s="2" t="s">
        <v>197</v>
      </c>
      <c r="F193" s="8">
        <v>99</v>
      </c>
      <c r="G193" s="7">
        <v>-3.6</v>
      </c>
      <c r="H193" s="7">
        <v>-3.2</v>
      </c>
      <c r="I193" s="7">
        <v>-0.5</v>
      </c>
    </row>
    <row r="194" spans="1:9" x14ac:dyDescent="0.25">
      <c r="A194" s="4" t="s">
        <v>41</v>
      </c>
      <c r="B194" s="4">
        <v>2024</v>
      </c>
      <c r="C194" s="5">
        <v>23041313</v>
      </c>
      <c r="D194" s="5">
        <v>13112707</v>
      </c>
      <c r="E194" s="4" t="s">
        <v>197</v>
      </c>
      <c r="F194" s="9">
        <v>56.9</v>
      </c>
      <c r="G194" s="6">
        <v>53.9</v>
      </c>
      <c r="H194" s="6">
        <v>15.8</v>
      </c>
      <c r="I194" s="6">
        <v>14.1</v>
      </c>
    </row>
    <row r="195" spans="1:9" x14ac:dyDescent="0.25">
      <c r="A195" s="2" t="s">
        <v>40</v>
      </c>
      <c r="B195" s="2">
        <v>2025</v>
      </c>
      <c r="C195" s="3">
        <v>35167653</v>
      </c>
      <c r="D195" s="3">
        <v>13097092</v>
      </c>
      <c r="E195" s="2" t="s">
        <v>197</v>
      </c>
      <c r="F195" s="8">
        <v>37.200000000000003</v>
      </c>
      <c r="G195" s="6">
        <v>9.6999999999999993</v>
      </c>
      <c r="H195" s="6">
        <v>7.1</v>
      </c>
      <c r="I195" s="6">
        <v>0.8</v>
      </c>
    </row>
    <row r="196" spans="1:9" x14ac:dyDescent="0.25">
      <c r="A196" s="4" t="s">
        <v>41</v>
      </c>
      <c r="B196" s="4">
        <v>2025</v>
      </c>
      <c r="C196" s="5">
        <v>23090895</v>
      </c>
      <c r="D196" s="5">
        <v>12920187</v>
      </c>
      <c r="E196" s="4" t="s">
        <v>197</v>
      </c>
      <c r="F196" s="9">
        <v>56</v>
      </c>
      <c r="G196" s="7">
        <v>-1.5</v>
      </c>
      <c r="H196" s="6">
        <v>0.2</v>
      </c>
      <c r="I196" s="7">
        <v>-0.9</v>
      </c>
    </row>
    <row r="197" spans="1:9" x14ac:dyDescent="0.25">
      <c r="A197" s="2" t="s">
        <v>38</v>
      </c>
      <c r="B197" s="2">
        <v>2023</v>
      </c>
      <c r="C197" s="3">
        <v>22835548</v>
      </c>
      <c r="D197" s="3">
        <v>12739892</v>
      </c>
      <c r="E197" s="2" t="s">
        <v>197</v>
      </c>
      <c r="F197" s="8">
        <v>55.8</v>
      </c>
      <c r="G197" s="2"/>
      <c r="H197" s="2"/>
      <c r="I197" s="2"/>
    </row>
    <row r="198" spans="1:9" x14ac:dyDescent="0.25">
      <c r="A198" s="4" t="s">
        <v>40</v>
      </c>
      <c r="B198" s="4">
        <v>2024</v>
      </c>
      <c r="C198" s="5">
        <v>32844178</v>
      </c>
      <c r="D198" s="5">
        <v>11943030</v>
      </c>
      <c r="E198" s="4" t="s">
        <v>197</v>
      </c>
      <c r="F198" s="9">
        <v>36.4</v>
      </c>
      <c r="G198" s="6">
        <v>6.9</v>
      </c>
      <c r="H198" s="7">
        <v>-1.4</v>
      </c>
      <c r="I198" s="6">
        <v>2.9</v>
      </c>
    </row>
    <row r="199" spans="1:9" x14ac:dyDescent="0.25">
      <c r="A199" s="2" t="s">
        <v>40</v>
      </c>
      <c r="B199" s="2">
        <v>2023</v>
      </c>
      <c r="C199" s="3">
        <v>33309125</v>
      </c>
      <c r="D199" s="3">
        <v>11169261</v>
      </c>
      <c r="E199" s="2" t="s">
        <v>197</v>
      </c>
      <c r="F199" s="8">
        <v>33.5</v>
      </c>
      <c r="G199" s="2"/>
      <c r="H199" s="2"/>
      <c r="I199" s="2"/>
    </row>
    <row r="200" spans="1:9" x14ac:dyDescent="0.25">
      <c r="A200" s="4" t="s">
        <v>38</v>
      </c>
      <c r="B200" s="4">
        <v>2024</v>
      </c>
      <c r="C200" s="5">
        <v>21729331</v>
      </c>
      <c r="D200" s="5">
        <v>10747434</v>
      </c>
      <c r="E200" s="4" t="s">
        <v>197</v>
      </c>
      <c r="F200" s="9">
        <v>49.5</v>
      </c>
      <c r="G200" s="7">
        <v>-15.6</v>
      </c>
      <c r="H200" s="7">
        <v>-4.8</v>
      </c>
      <c r="I200" s="7">
        <v>-6.3</v>
      </c>
    </row>
    <row r="201" spans="1:9" x14ac:dyDescent="0.25">
      <c r="A201" s="2" t="s">
        <v>35</v>
      </c>
      <c r="B201" s="2">
        <v>2025</v>
      </c>
      <c r="C201" s="3">
        <v>10096152</v>
      </c>
      <c r="D201" s="3">
        <v>9975457</v>
      </c>
      <c r="E201" s="2" t="s">
        <v>197</v>
      </c>
      <c r="F201" s="8">
        <v>98.8</v>
      </c>
      <c r="G201" s="7">
        <v>-39.4</v>
      </c>
      <c r="H201" s="7">
        <v>-39.299999999999997</v>
      </c>
      <c r="I201" s="7">
        <v>-0.2</v>
      </c>
    </row>
    <row r="202" spans="1:9" x14ac:dyDescent="0.25">
      <c r="A202" s="4" t="s">
        <v>41</v>
      </c>
      <c r="B202" s="4">
        <v>2023</v>
      </c>
      <c r="C202" s="5">
        <v>19903832</v>
      </c>
      <c r="D202" s="5">
        <v>8517567</v>
      </c>
      <c r="E202" s="4" t="s">
        <v>197</v>
      </c>
      <c r="F202" s="9">
        <v>42.8</v>
      </c>
      <c r="G202" s="4"/>
      <c r="H202" s="4"/>
      <c r="I202" s="4"/>
    </row>
    <row r="203" spans="1:9" x14ac:dyDescent="0.25">
      <c r="A203" s="2" t="s">
        <v>38</v>
      </c>
      <c r="B203" s="2">
        <v>2025</v>
      </c>
      <c r="C203" s="3">
        <v>17633637</v>
      </c>
      <c r="D203" s="3">
        <v>8387378</v>
      </c>
      <c r="E203" s="2" t="s">
        <v>197</v>
      </c>
      <c r="F203" s="8">
        <v>47.6</v>
      </c>
      <c r="G203" s="7">
        <v>-22</v>
      </c>
      <c r="H203" s="7">
        <v>-18.8</v>
      </c>
      <c r="I203" s="7">
        <v>-1.9</v>
      </c>
    </row>
    <row r="204" spans="1:9" x14ac:dyDescent="0.25">
      <c r="A204" s="4" t="s">
        <v>251</v>
      </c>
      <c r="B204" s="4">
        <v>2025</v>
      </c>
      <c r="C204" s="5">
        <v>5777350</v>
      </c>
      <c r="D204" s="5">
        <v>2827116</v>
      </c>
      <c r="E204" s="4" t="s">
        <v>197</v>
      </c>
      <c r="F204" s="9">
        <v>48.9</v>
      </c>
      <c r="G204" s="6">
        <v>36.6</v>
      </c>
      <c r="H204" s="6">
        <v>18.100000000000001</v>
      </c>
      <c r="I204" s="6">
        <v>6.6</v>
      </c>
    </row>
    <row r="205" spans="1:9" x14ac:dyDescent="0.25">
      <c r="A205" s="2" t="s">
        <v>251</v>
      </c>
      <c r="B205" s="2">
        <v>2024</v>
      </c>
      <c r="C205" s="3">
        <v>4892423</v>
      </c>
      <c r="D205" s="3">
        <v>2069715</v>
      </c>
      <c r="E205" s="2" t="s">
        <v>197</v>
      </c>
      <c r="F205" s="8">
        <v>42.3</v>
      </c>
      <c r="G205" s="6">
        <v>30.3</v>
      </c>
      <c r="H205" s="6">
        <v>30.4</v>
      </c>
      <c r="I205" s="9">
        <v>0</v>
      </c>
    </row>
    <row r="206" spans="1:9" x14ac:dyDescent="0.25">
      <c r="A206" s="4" t="s">
        <v>251</v>
      </c>
      <c r="B206" s="4">
        <v>2023</v>
      </c>
      <c r="C206" s="5">
        <v>3752336</v>
      </c>
      <c r="D206" s="5">
        <v>1588495</v>
      </c>
      <c r="E206" s="4" t="s">
        <v>197</v>
      </c>
      <c r="F206" s="9">
        <v>42.3</v>
      </c>
      <c r="G206" s="4"/>
      <c r="H206" s="4"/>
      <c r="I206" s="4"/>
    </row>
    <row r="207" spans="1:9" x14ac:dyDescent="0.25">
      <c r="A207" s="2" t="s">
        <v>39</v>
      </c>
      <c r="B207" s="2">
        <v>2025</v>
      </c>
      <c r="C207" s="3">
        <v>7196975</v>
      </c>
      <c r="D207" s="3">
        <v>275788</v>
      </c>
      <c r="E207" s="2" t="s">
        <v>197</v>
      </c>
      <c r="F207" s="8">
        <v>3.8</v>
      </c>
      <c r="G207" s="6">
        <v>20</v>
      </c>
      <c r="H207" s="6">
        <v>13.4</v>
      </c>
      <c r="I207" s="6">
        <v>0.2</v>
      </c>
    </row>
    <row r="208" spans="1:9" x14ac:dyDescent="0.25">
      <c r="A208" s="4" t="s">
        <v>39</v>
      </c>
      <c r="B208" s="4">
        <v>2024</v>
      </c>
      <c r="C208" s="5">
        <v>6348192</v>
      </c>
      <c r="D208" s="5">
        <v>229829</v>
      </c>
      <c r="E208" s="4" t="s">
        <v>197</v>
      </c>
      <c r="F208" s="9">
        <v>3.6</v>
      </c>
      <c r="G208" s="6">
        <v>69.8</v>
      </c>
      <c r="H208" s="6">
        <v>0.7</v>
      </c>
      <c r="I208" s="6">
        <v>1.5</v>
      </c>
    </row>
    <row r="209" spans="1:9" x14ac:dyDescent="0.25">
      <c r="A209" s="2" t="s">
        <v>39</v>
      </c>
      <c r="B209" s="2">
        <v>2023</v>
      </c>
      <c r="C209" s="3">
        <v>6301503</v>
      </c>
      <c r="D209" s="3">
        <v>135387</v>
      </c>
      <c r="E209" s="2" t="s">
        <v>197</v>
      </c>
      <c r="F209" s="8">
        <v>2.1</v>
      </c>
      <c r="G209" s="2"/>
      <c r="H209" s="2"/>
      <c r="I209" s="2"/>
    </row>
    <row r="210" spans="1:9" x14ac:dyDescent="0.25">
      <c r="A210" s="4" t="s">
        <v>24</v>
      </c>
      <c r="B210" s="4">
        <v>2023</v>
      </c>
      <c r="C210" s="5">
        <v>641173238</v>
      </c>
      <c r="D210" s="5">
        <v>241805339</v>
      </c>
      <c r="E210" s="4" t="s">
        <v>136</v>
      </c>
      <c r="F210" s="9">
        <v>37.700000000000003</v>
      </c>
      <c r="G210" s="4"/>
      <c r="H210" s="4"/>
      <c r="I210" s="4"/>
    </row>
    <row r="211" spans="1:9" x14ac:dyDescent="0.25">
      <c r="A211" s="2" t="s">
        <v>24</v>
      </c>
      <c r="B211" s="2">
        <v>2025</v>
      </c>
      <c r="C211" s="3">
        <v>660743532</v>
      </c>
      <c r="D211" s="3">
        <v>239820573</v>
      </c>
      <c r="E211" s="2" t="s">
        <v>136</v>
      </c>
      <c r="F211" s="8">
        <v>36.299999999999997</v>
      </c>
      <c r="G211" s="6">
        <v>0.2</v>
      </c>
      <c r="H211" s="7">
        <v>-1.1000000000000001</v>
      </c>
      <c r="I211" s="6">
        <v>0.5</v>
      </c>
    </row>
    <row r="212" spans="1:9" x14ac:dyDescent="0.25">
      <c r="A212" s="4" t="s">
        <v>24</v>
      </c>
      <c r="B212" s="4">
        <v>2024</v>
      </c>
      <c r="C212" s="5">
        <v>668149897</v>
      </c>
      <c r="D212" s="5">
        <v>239359969</v>
      </c>
      <c r="E212" s="4" t="s">
        <v>136</v>
      </c>
      <c r="F212" s="9">
        <v>35.799999999999997</v>
      </c>
      <c r="G212" s="7">
        <v>-1</v>
      </c>
      <c r="H212" s="6">
        <v>4.2</v>
      </c>
      <c r="I212" s="7">
        <v>-1.9</v>
      </c>
    </row>
    <row r="213" spans="1:9" x14ac:dyDescent="0.25">
      <c r="A213" s="2" t="s">
        <v>40</v>
      </c>
      <c r="B213" s="2">
        <v>2025</v>
      </c>
      <c r="C213" s="3">
        <v>35167653</v>
      </c>
      <c r="D213" s="3">
        <v>13097092</v>
      </c>
      <c r="E213" s="2" t="s">
        <v>136</v>
      </c>
      <c r="F213" s="8">
        <v>37.200000000000003</v>
      </c>
      <c r="G213" s="6">
        <v>9.6999999999999993</v>
      </c>
      <c r="H213" s="6">
        <v>7.1</v>
      </c>
      <c r="I213" s="6">
        <v>0.8</v>
      </c>
    </row>
    <row r="214" spans="1:9" x14ac:dyDescent="0.25">
      <c r="A214" s="4" t="s">
        <v>40</v>
      </c>
      <c r="B214" s="4">
        <v>2024</v>
      </c>
      <c r="C214" s="5">
        <v>32844178</v>
      </c>
      <c r="D214" s="5">
        <v>11943030</v>
      </c>
      <c r="E214" s="4" t="s">
        <v>136</v>
      </c>
      <c r="F214" s="9">
        <v>36.4</v>
      </c>
      <c r="G214" s="6">
        <v>6.9</v>
      </c>
      <c r="H214" s="7">
        <v>-1.4</v>
      </c>
      <c r="I214" s="6">
        <v>2.9</v>
      </c>
    </row>
    <row r="215" spans="1:9" x14ac:dyDescent="0.25">
      <c r="A215" s="2" t="s">
        <v>40</v>
      </c>
      <c r="B215" s="2">
        <v>2023</v>
      </c>
      <c r="C215" s="3">
        <v>33309125</v>
      </c>
      <c r="D215" s="3">
        <v>11169261</v>
      </c>
      <c r="E215" s="2" t="s">
        <v>136</v>
      </c>
      <c r="F215" s="8">
        <v>33.5</v>
      </c>
      <c r="G215" s="2"/>
      <c r="H215" s="2"/>
      <c r="I215" s="2"/>
    </row>
    <row r="216" spans="1:9" x14ac:dyDescent="0.25">
      <c r="A216" s="4" t="s">
        <v>39</v>
      </c>
      <c r="B216" s="4">
        <v>2025</v>
      </c>
      <c r="C216" s="5">
        <v>7196975</v>
      </c>
      <c r="D216" s="5">
        <v>275788</v>
      </c>
      <c r="E216" s="4" t="s">
        <v>136</v>
      </c>
      <c r="F216" s="9">
        <v>3.8</v>
      </c>
      <c r="G216" s="6">
        <v>20</v>
      </c>
      <c r="H216" s="6">
        <v>13.4</v>
      </c>
      <c r="I216" s="6">
        <v>0.2</v>
      </c>
    </row>
    <row r="217" spans="1:9" x14ac:dyDescent="0.25">
      <c r="A217" s="2" t="s">
        <v>39</v>
      </c>
      <c r="B217" s="2">
        <v>2024</v>
      </c>
      <c r="C217" s="3">
        <v>6348192</v>
      </c>
      <c r="D217" s="3">
        <v>229829</v>
      </c>
      <c r="E217" s="2" t="s">
        <v>136</v>
      </c>
      <c r="F217" s="8">
        <v>3.6</v>
      </c>
      <c r="G217" s="6">
        <v>69.8</v>
      </c>
      <c r="H217" s="6">
        <v>0.7</v>
      </c>
      <c r="I217" s="6">
        <v>1.5</v>
      </c>
    </row>
    <row r="218" spans="1:9" x14ac:dyDescent="0.25">
      <c r="A218" s="4" t="s">
        <v>39</v>
      </c>
      <c r="B218" s="4">
        <v>2023</v>
      </c>
      <c r="C218" s="5">
        <v>6301503</v>
      </c>
      <c r="D218" s="5">
        <v>135387</v>
      </c>
      <c r="E218" s="4" t="s">
        <v>136</v>
      </c>
      <c r="F218" s="9">
        <v>2.1</v>
      </c>
      <c r="G218" s="4"/>
      <c r="H218" s="4"/>
      <c r="I218" s="4"/>
    </row>
    <row r="219" spans="1:9" x14ac:dyDescent="0.25">
      <c r="A219" s="2" t="s">
        <v>26</v>
      </c>
      <c r="B219" s="2">
        <v>2025</v>
      </c>
      <c r="C219" s="3">
        <v>469945163</v>
      </c>
      <c r="D219" s="3">
        <v>215572928</v>
      </c>
      <c r="E219" s="2" t="s">
        <v>137</v>
      </c>
      <c r="F219" s="8">
        <v>45.9</v>
      </c>
      <c r="G219" s="6">
        <v>19.5</v>
      </c>
      <c r="H219" s="6">
        <v>16.2</v>
      </c>
      <c r="I219" s="6">
        <v>1.3</v>
      </c>
    </row>
    <row r="220" spans="1:9" x14ac:dyDescent="0.25">
      <c r="A220" s="4" t="s">
        <v>26</v>
      </c>
      <c r="B220" s="4">
        <v>2023</v>
      </c>
      <c r="C220" s="5">
        <v>352844235</v>
      </c>
      <c r="D220" s="5">
        <v>185438423</v>
      </c>
      <c r="E220" s="4" t="s">
        <v>137</v>
      </c>
      <c r="F220" s="9">
        <v>52.6</v>
      </c>
      <c r="G220" s="4"/>
      <c r="H220" s="4"/>
      <c r="I220" s="4"/>
    </row>
    <row r="221" spans="1:9" x14ac:dyDescent="0.25">
      <c r="A221" s="2" t="s">
        <v>26</v>
      </c>
      <c r="B221" s="2">
        <v>2024</v>
      </c>
      <c r="C221" s="3">
        <v>404342667</v>
      </c>
      <c r="D221" s="3">
        <v>180429346</v>
      </c>
      <c r="E221" s="2" t="s">
        <v>137</v>
      </c>
      <c r="F221" s="8">
        <v>44.6</v>
      </c>
      <c r="G221" s="7">
        <v>-2.7</v>
      </c>
      <c r="H221" s="6">
        <v>14.6</v>
      </c>
      <c r="I221" s="7">
        <v>-8</v>
      </c>
    </row>
    <row r="222" spans="1:9" x14ac:dyDescent="0.25">
      <c r="A222" s="4" t="s">
        <v>28</v>
      </c>
      <c r="B222" s="4">
        <v>2023</v>
      </c>
      <c r="C222" s="5">
        <v>173311479</v>
      </c>
      <c r="D222" s="5">
        <v>86183901</v>
      </c>
      <c r="E222" s="4" t="s">
        <v>137</v>
      </c>
      <c r="F222" s="9">
        <v>49.7</v>
      </c>
      <c r="G222" s="4"/>
      <c r="H222" s="4"/>
      <c r="I222" s="4"/>
    </row>
    <row r="223" spans="1:9" x14ac:dyDescent="0.25">
      <c r="A223" s="2" t="s">
        <v>28</v>
      </c>
      <c r="B223" s="2">
        <v>2025</v>
      </c>
      <c r="C223" s="3">
        <v>154078477</v>
      </c>
      <c r="D223" s="3">
        <v>78003105</v>
      </c>
      <c r="E223" s="2" t="s">
        <v>137</v>
      </c>
      <c r="F223" s="8">
        <v>50.6</v>
      </c>
      <c r="G223" s="6">
        <v>2.2000000000000002</v>
      </c>
      <c r="H223" s="6">
        <v>2</v>
      </c>
      <c r="I223" s="9">
        <v>0</v>
      </c>
    </row>
    <row r="224" spans="1:9" x14ac:dyDescent="0.25">
      <c r="A224" s="4" t="s">
        <v>28</v>
      </c>
      <c r="B224" s="4">
        <v>2024</v>
      </c>
      <c r="C224" s="5">
        <v>151001868</v>
      </c>
      <c r="D224" s="5">
        <v>76359996</v>
      </c>
      <c r="E224" s="4" t="s">
        <v>137</v>
      </c>
      <c r="F224" s="9">
        <v>50.6</v>
      </c>
      <c r="G224" s="7">
        <v>-11.4</v>
      </c>
      <c r="H224" s="7">
        <v>-12.9</v>
      </c>
      <c r="I224" s="6">
        <v>0.9</v>
      </c>
    </row>
    <row r="225" spans="1:9" x14ac:dyDescent="0.25">
      <c r="A225" s="2" t="s">
        <v>33</v>
      </c>
      <c r="B225" s="2">
        <v>2025</v>
      </c>
      <c r="C225" s="3">
        <v>54958104</v>
      </c>
      <c r="D225" s="3">
        <v>25332727</v>
      </c>
      <c r="E225" s="2" t="s">
        <v>137</v>
      </c>
      <c r="F225" s="8">
        <v>46.1</v>
      </c>
      <c r="G225" s="6">
        <v>15.6</v>
      </c>
      <c r="H225" s="6">
        <v>15.6</v>
      </c>
      <c r="I225" s="9">
        <v>0</v>
      </c>
    </row>
    <row r="226" spans="1:9" x14ac:dyDescent="0.25">
      <c r="A226" s="4" t="s">
        <v>33</v>
      </c>
      <c r="B226" s="4">
        <v>2023</v>
      </c>
      <c r="C226" s="5">
        <v>48820355</v>
      </c>
      <c r="D226" s="5">
        <v>23860868</v>
      </c>
      <c r="E226" s="4" t="s">
        <v>137</v>
      </c>
      <c r="F226" s="9">
        <v>48.9</v>
      </c>
      <c r="G226" s="4"/>
      <c r="H226" s="4"/>
      <c r="I226" s="4"/>
    </row>
    <row r="227" spans="1:9" x14ac:dyDescent="0.25">
      <c r="A227" s="2" t="s">
        <v>34</v>
      </c>
      <c r="B227" s="2">
        <v>2023</v>
      </c>
      <c r="C227" s="3">
        <v>64338040</v>
      </c>
      <c r="D227" s="3">
        <v>22825913</v>
      </c>
      <c r="E227" s="2" t="s">
        <v>137</v>
      </c>
      <c r="F227" s="8">
        <v>35.5</v>
      </c>
      <c r="G227" s="2"/>
      <c r="H227" s="2"/>
      <c r="I227" s="2"/>
    </row>
    <row r="228" spans="1:9" x14ac:dyDescent="0.25">
      <c r="A228" s="4" t="s">
        <v>33</v>
      </c>
      <c r="B228" s="4">
        <v>2024</v>
      </c>
      <c r="C228" s="5">
        <v>47546622</v>
      </c>
      <c r="D228" s="5">
        <v>21922921</v>
      </c>
      <c r="E228" s="4" t="s">
        <v>137</v>
      </c>
      <c r="F228" s="9">
        <v>46.1</v>
      </c>
      <c r="G228" s="7">
        <v>-8.1</v>
      </c>
      <c r="H228" s="7">
        <v>-2.6</v>
      </c>
      <c r="I228" s="7">
        <v>-2.8</v>
      </c>
    </row>
    <row r="229" spans="1:9" x14ac:dyDescent="0.25">
      <c r="A229" s="2" t="s">
        <v>36</v>
      </c>
      <c r="B229" s="2">
        <v>2025</v>
      </c>
      <c r="C229" s="3">
        <v>60416080</v>
      </c>
      <c r="D229" s="3">
        <v>21773725</v>
      </c>
      <c r="E229" s="2" t="s">
        <v>137</v>
      </c>
      <c r="F229" s="8">
        <v>36</v>
      </c>
      <c r="G229" s="6">
        <v>14.4</v>
      </c>
      <c r="H229" s="6">
        <v>21.5</v>
      </c>
      <c r="I229" s="7">
        <v>-2.2999999999999998</v>
      </c>
    </row>
    <row r="230" spans="1:9" x14ac:dyDescent="0.25">
      <c r="A230" s="4" t="s">
        <v>36</v>
      </c>
      <c r="B230" s="4">
        <v>2024</v>
      </c>
      <c r="C230" s="5">
        <v>49733826</v>
      </c>
      <c r="D230" s="5">
        <v>19040969</v>
      </c>
      <c r="E230" s="4" t="s">
        <v>137</v>
      </c>
      <c r="F230" s="9">
        <v>38.299999999999997</v>
      </c>
      <c r="G230" s="6">
        <v>12.3</v>
      </c>
      <c r="H230" s="7">
        <v>-2.4</v>
      </c>
      <c r="I230" s="6">
        <v>5</v>
      </c>
    </row>
    <row r="231" spans="1:9" x14ac:dyDescent="0.25">
      <c r="A231" s="2" t="s">
        <v>34</v>
      </c>
      <c r="B231" s="2">
        <v>2024</v>
      </c>
      <c r="C231" s="3">
        <v>79294070</v>
      </c>
      <c r="D231" s="3">
        <v>18958049</v>
      </c>
      <c r="E231" s="2" t="s">
        <v>137</v>
      </c>
      <c r="F231" s="8">
        <v>23.9</v>
      </c>
      <c r="G231" s="7">
        <v>-16.899999999999999</v>
      </c>
      <c r="H231" s="6">
        <v>23.2</v>
      </c>
      <c r="I231" s="7">
        <v>-11.6</v>
      </c>
    </row>
    <row r="232" spans="1:9" x14ac:dyDescent="0.25">
      <c r="A232" s="4" t="s">
        <v>34</v>
      </c>
      <c r="B232" s="4">
        <v>2025</v>
      </c>
      <c r="C232" s="5">
        <v>120732205</v>
      </c>
      <c r="D232" s="5">
        <v>17091563</v>
      </c>
      <c r="E232" s="4" t="s">
        <v>137</v>
      </c>
      <c r="F232" s="9">
        <v>14.2</v>
      </c>
      <c r="G232" s="7">
        <v>-9.8000000000000007</v>
      </c>
      <c r="H232" s="6">
        <v>52.3</v>
      </c>
      <c r="I232" s="7">
        <v>-9.6999999999999993</v>
      </c>
    </row>
    <row r="233" spans="1:9" x14ac:dyDescent="0.25">
      <c r="A233" s="2" t="s">
        <v>36</v>
      </c>
      <c r="B233" s="2">
        <v>2023</v>
      </c>
      <c r="C233" s="3">
        <v>50982721</v>
      </c>
      <c r="D233" s="3">
        <v>16955304</v>
      </c>
      <c r="E233" s="2" t="s">
        <v>137</v>
      </c>
      <c r="F233" s="8">
        <v>33.299999999999997</v>
      </c>
      <c r="G233" s="2"/>
      <c r="H233" s="2"/>
      <c r="I233" s="2"/>
    </row>
    <row r="234" spans="1:9" x14ac:dyDescent="0.25">
      <c r="A234" s="4" t="s">
        <v>108</v>
      </c>
      <c r="B234" s="4">
        <v>2023</v>
      </c>
      <c r="C234" s="5">
        <v>6898927</v>
      </c>
      <c r="D234" s="5">
        <v>5910461</v>
      </c>
      <c r="E234" s="4" t="s">
        <v>137</v>
      </c>
      <c r="F234" s="9">
        <v>85.7</v>
      </c>
      <c r="G234" s="4"/>
      <c r="H234" s="4"/>
      <c r="I234" s="4"/>
    </row>
    <row r="235" spans="1:9" x14ac:dyDescent="0.25">
      <c r="A235" s="2" t="s">
        <v>250</v>
      </c>
      <c r="B235" s="2">
        <v>2025</v>
      </c>
      <c r="C235" s="3">
        <v>17245058</v>
      </c>
      <c r="D235" s="3">
        <v>5037645</v>
      </c>
      <c r="E235" s="2" t="s">
        <v>137</v>
      </c>
      <c r="F235" s="8">
        <v>29.2</v>
      </c>
      <c r="G235" s="6">
        <v>15.7</v>
      </c>
      <c r="H235" s="6">
        <v>12.7</v>
      </c>
      <c r="I235" s="6">
        <v>0.7</v>
      </c>
    </row>
    <row r="236" spans="1:9" x14ac:dyDescent="0.25">
      <c r="A236" s="4" t="s">
        <v>108</v>
      </c>
      <c r="B236" s="4">
        <v>2024</v>
      </c>
      <c r="C236" s="5">
        <v>11594279</v>
      </c>
      <c r="D236" s="5">
        <v>4792474</v>
      </c>
      <c r="E236" s="4" t="s">
        <v>137</v>
      </c>
      <c r="F236" s="9">
        <v>41.3</v>
      </c>
      <c r="G236" s="7">
        <v>-18.899999999999999</v>
      </c>
      <c r="H236" s="6">
        <v>68.099999999999994</v>
      </c>
      <c r="I236" s="7">
        <v>-44.4</v>
      </c>
    </row>
    <row r="237" spans="1:9" x14ac:dyDescent="0.25">
      <c r="A237" s="2" t="s">
        <v>250</v>
      </c>
      <c r="B237" s="2">
        <v>2024</v>
      </c>
      <c r="C237" s="3">
        <v>15301411</v>
      </c>
      <c r="D237" s="3">
        <v>4353514</v>
      </c>
      <c r="E237" s="2" t="s">
        <v>137</v>
      </c>
      <c r="F237" s="8">
        <v>28.5</v>
      </c>
      <c r="G237" s="6">
        <v>5.9</v>
      </c>
      <c r="H237" s="6">
        <v>4.3</v>
      </c>
      <c r="I237" s="6">
        <v>0.5</v>
      </c>
    </row>
    <row r="238" spans="1:9" x14ac:dyDescent="0.25">
      <c r="A238" s="4" t="s">
        <v>108</v>
      </c>
      <c r="B238" s="4">
        <v>2025</v>
      </c>
      <c r="C238" s="5">
        <v>11134599</v>
      </c>
      <c r="D238" s="5">
        <v>4128131</v>
      </c>
      <c r="E238" s="4" t="s">
        <v>137</v>
      </c>
      <c r="F238" s="9">
        <v>37.1</v>
      </c>
      <c r="G238" s="7">
        <v>-13.9</v>
      </c>
      <c r="H238" s="7">
        <v>-4</v>
      </c>
      <c r="I238" s="7">
        <v>-4.2</v>
      </c>
    </row>
    <row r="239" spans="1:9" x14ac:dyDescent="0.25">
      <c r="A239" s="2" t="s">
        <v>250</v>
      </c>
      <c r="B239" s="2">
        <v>2023</v>
      </c>
      <c r="C239" s="3">
        <v>14663794</v>
      </c>
      <c r="D239" s="3">
        <v>4110918</v>
      </c>
      <c r="E239" s="2" t="s">
        <v>137</v>
      </c>
      <c r="F239" s="8">
        <v>28</v>
      </c>
      <c r="G239" s="2"/>
      <c r="H239" s="2"/>
      <c r="I239" s="2"/>
    </row>
    <row r="240" spans="1:9" x14ac:dyDescent="0.25">
      <c r="A240" s="4" t="s">
        <v>252</v>
      </c>
      <c r="B240" s="4">
        <v>2023</v>
      </c>
      <c r="C240" s="5">
        <v>747475895</v>
      </c>
      <c r="D240" s="5">
        <v>1741355</v>
      </c>
      <c r="E240" s="4" t="s">
        <v>137</v>
      </c>
      <c r="F240" s="9">
        <v>0.2</v>
      </c>
      <c r="G240" s="4"/>
      <c r="H240" s="4"/>
      <c r="I240" s="4"/>
    </row>
    <row r="241" spans="1:9" x14ac:dyDescent="0.25">
      <c r="A241" s="2" t="s">
        <v>252</v>
      </c>
      <c r="B241" s="2">
        <v>2024</v>
      </c>
      <c r="C241" s="3">
        <v>784429810</v>
      </c>
      <c r="D241" s="3">
        <v>1502597</v>
      </c>
      <c r="E241" s="2" t="s">
        <v>137</v>
      </c>
      <c r="F241" s="8">
        <v>0.2</v>
      </c>
      <c r="G241" s="7">
        <v>-13.7</v>
      </c>
      <c r="H241" s="6">
        <v>4.9000000000000004</v>
      </c>
      <c r="I241" s="9">
        <v>0</v>
      </c>
    </row>
    <row r="242" spans="1:9" x14ac:dyDescent="0.25">
      <c r="A242" s="4" t="s">
        <v>252</v>
      </c>
      <c r="B242" s="4">
        <v>2025</v>
      </c>
      <c r="C242" s="5">
        <v>659784841</v>
      </c>
      <c r="D242" s="5">
        <v>1260537</v>
      </c>
      <c r="E242" s="4" t="s">
        <v>137</v>
      </c>
      <c r="F242" s="9">
        <v>0.2</v>
      </c>
      <c r="G242" s="7">
        <v>-16.100000000000001</v>
      </c>
      <c r="H242" s="7">
        <v>-15.9</v>
      </c>
      <c r="I242" s="9">
        <v>0</v>
      </c>
    </row>
    <row r="243" spans="1:9" x14ac:dyDescent="0.25">
      <c r="A243" s="2" t="s">
        <v>253</v>
      </c>
      <c r="B243" s="2">
        <v>2025</v>
      </c>
      <c r="C243" s="3">
        <v>7155807</v>
      </c>
      <c r="D243" s="3">
        <v>827185</v>
      </c>
      <c r="E243" s="2" t="s">
        <v>137</v>
      </c>
      <c r="F243" s="8">
        <v>11.6</v>
      </c>
      <c r="G243" s="6">
        <v>87.4</v>
      </c>
      <c r="H243" s="7">
        <v>-27.7</v>
      </c>
      <c r="I243" s="6">
        <v>7.1</v>
      </c>
    </row>
    <row r="244" spans="1:9" x14ac:dyDescent="0.25">
      <c r="A244" s="4" t="s">
        <v>254</v>
      </c>
      <c r="B244" s="4">
        <v>2023</v>
      </c>
      <c r="C244" s="5">
        <v>409020357</v>
      </c>
      <c r="D244" s="5">
        <v>676877</v>
      </c>
      <c r="E244" s="4" t="s">
        <v>137</v>
      </c>
      <c r="F244" s="9">
        <v>0.2</v>
      </c>
      <c r="G244" s="4"/>
      <c r="H244" s="4"/>
      <c r="I244" s="4"/>
    </row>
    <row r="245" spans="1:9" x14ac:dyDescent="0.25">
      <c r="A245" s="2" t="s">
        <v>255</v>
      </c>
      <c r="B245" s="2">
        <v>2023</v>
      </c>
      <c r="C245" s="3">
        <v>383621415</v>
      </c>
      <c r="D245" s="3">
        <v>565841</v>
      </c>
      <c r="E245" s="2" t="s">
        <v>137</v>
      </c>
      <c r="F245" s="8">
        <v>0.1</v>
      </c>
      <c r="G245" s="2"/>
      <c r="H245" s="2"/>
      <c r="I245" s="2"/>
    </row>
    <row r="246" spans="1:9" x14ac:dyDescent="0.25">
      <c r="A246" s="4" t="s">
        <v>254</v>
      </c>
      <c r="B246" s="4">
        <v>2024</v>
      </c>
      <c r="C246" s="5">
        <v>423027938</v>
      </c>
      <c r="D246" s="5">
        <v>482523</v>
      </c>
      <c r="E246" s="4" t="s">
        <v>137</v>
      </c>
      <c r="F246" s="9">
        <v>0.1</v>
      </c>
      <c r="G246" s="7">
        <v>-28.7</v>
      </c>
      <c r="H246" s="6">
        <v>3.4</v>
      </c>
      <c r="I246" s="7">
        <v>-0.1</v>
      </c>
    </row>
    <row r="247" spans="1:9" x14ac:dyDescent="0.25">
      <c r="A247" s="2" t="s">
        <v>255</v>
      </c>
      <c r="B247" s="2">
        <v>2024</v>
      </c>
      <c r="C247" s="3">
        <v>403338832</v>
      </c>
      <c r="D247" s="3">
        <v>459780</v>
      </c>
      <c r="E247" s="2" t="s">
        <v>137</v>
      </c>
      <c r="F247" s="8">
        <v>0.1</v>
      </c>
      <c r="G247" s="7">
        <v>-18.7</v>
      </c>
      <c r="H247" s="6">
        <v>5.0999999999999996</v>
      </c>
      <c r="I247" s="9">
        <v>0</v>
      </c>
    </row>
    <row r="248" spans="1:9" x14ac:dyDescent="0.25">
      <c r="A248" s="4" t="s">
        <v>253</v>
      </c>
      <c r="B248" s="4">
        <v>2024</v>
      </c>
      <c r="C248" s="5">
        <v>9899500</v>
      </c>
      <c r="D248" s="5">
        <v>441286</v>
      </c>
      <c r="E248" s="4" t="s">
        <v>137</v>
      </c>
      <c r="F248" s="9">
        <v>4.5</v>
      </c>
      <c r="G248" s="6">
        <v>76</v>
      </c>
      <c r="H248" s="6">
        <v>29</v>
      </c>
      <c r="I248" s="6">
        <v>1.2</v>
      </c>
    </row>
    <row r="249" spans="1:9" x14ac:dyDescent="0.25">
      <c r="A249" s="2" t="s">
        <v>256</v>
      </c>
      <c r="B249" s="2">
        <v>2025</v>
      </c>
      <c r="C249" s="3">
        <v>7598582</v>
      </c>
      <c r="D249" s="3">
        <v>406778</v>
      </c>
      <c r="E249" s="2" t="s">
        <v>137</v>
      </c>
      <c r="F249" s="8">
        <v>5.4</v>
      </c>
      <c r="G249" s="6">
        <v>8.9</v>
      </c>
      <c r="H249" s="6">
        <v>1.8</v>
      </c>
      <c r="I249" s="6">
        <v>0.4</v>
      </c>
    </row>
    <row r="250" spans="1:9" x14ac:dyDescent="0.25">
      <c r="A250" s="4" t="s">
        <v>255</v>
      </c>
      <c r="B250" s="4">
        <v>2025</v>
      </c>
      <c r="C250" s="5">
        <v>394013693</v>
      </c>
      <c r="D250" s="5">
        <v>397368</v>
      </c>
      <c r="E250" s="4" t="s">
        <v>137</v>
      </c>
      <c r="F250" s="9">
        <v>0.1</v>
      </c>
      <c r="G250" s="7">
        <v>-13.6</v>
      </c>
      <c r="H250" s="7">
        <v>-2.2999999999999998</v>
      </c>
      <c r="I250" s="9">
        <v>0</v>
      </c>
    </row>
    <row r="251" spans="1:9" x14ac:dyDescent="0.25">
      <c r="A251" s="2" t="s">
        <v>254</v>
      </c>
      <c r="B251" s="2">
        <v>2025</v>
      </c>
      <c r="C251" s="3">
        <v>374580333</v>
      </c>
      <c r="D251" s="3">
        <v>386366</v>
      </c>
      <c r="E251" s="2" t="s">
        <v>137</v>
      </c>
      <c r="F251" s="8">
        <v>0.1</v>
      </c>
      <c r="G251" s="7">
        <v>-19.899999999999999</v>
      </c>
      <c r="H251" s="7">
        <v>-11.5</v>
      </c>
      <c r="I251" s="9">
        <v>0</v>
      </c>
    </row>
    <row r="252" spans="1:9" x14ac:dyDescent="0.25">
      <c r="A252" s="4" t="s">
        <v>256</v>
      </c>
      <c r="B252" s="4">
        <v>2024</v>
      </c>
      <c r="C252" s="5">
        <v>7464560</v>
      </c>
      <c r="D252" s="5">
        <v>373422</v>
      </c>
      <c r="E252" s="4" t="s">
        <v>137</v>
      </c>
      <c r="F252" s="9">
        <v>5</v>
      </c>
      <c r="G252" s="6">
        <v>35.299999999999997</v>
      </c>
      <c r="H252" s="6">
        <v>9.4</v>
      </c>
      <c r="I252" s="6">
        <v>1</v>
      </c>
    </row>
    <row r="253" spans="1:9" x14ac:dyDescent="0.25">
      <c r="A253" s="2" t="s">
        <v>256</v>
      </c>
      <c r="B253" s="2">
        <v>2023</v>
      </c>
      <c r="C253" s="3">
        <v>6823234</v>
      </c>
      <c r="D253" s="3">
        <v>275990</v>
      </c>
      <c r="E253" s="2" t="s">
        <v>137</v>
      </c>
      <c r="F253" s="8">
        <v>4</v>
      </c>
      <c r="G253" s="2"/>
      <c r="H253" s="2"/>
      <c r="I253" s="2"/>
    </row>
    <row r="254" spans="1:9" x14ac:dyDescent="0.25">
      <c r="A254" s="4" t="s">
        <v>253</v>
      </c>
      <c r="B254" s="4">
        <v>2023</v>
      </c>
      <c r="C254" s="5">
        <v>7676360</v>
      </c>
      <c r="D254" s="5">
        <v>250726</v>
      </c>
      <c r="E254" s="4" t="s">
        <v>137</v>
      </c>
      <c r="F254" s="9">
        <v>3.3</v>
      </c>
      <c r="G254" s="4"/>
      <c r="H254" s="4"/>
      <c r="I254" s="4"/>
    </row>
    <row r="255" spans="1:9" x14ac:dyDescent="0.25">
      <c r="A255" s="2" t="s">
        <v>39</v>
      </c>
      <c r="B255" s="2">
        <v>2023</v>
      </c>
      <c r="C255" s="3">
        <v>376</v>
      </c>
      <c r="D255" s="3">
        <v>0</v>
      </c>
      <c r="E255" s="2" t="s">
        <v>137</v>
      </c>
      <c r="F255" s="8">
        <v>0</v>
      </c>
      <c r="G255" s="2"/>
      <c r="H255" s="2"/>
      <c r="I255" s="2"/>
    </row>
    <row r="256" spans="1:9" x14ac:dyDescent="0.25">
      <c r="A256" s="4" t="s">
        <v>39</v>
      </c>
      <c r="B256" s="4">
        <v>2024</v>
      </c>
      <c r="C256" s="5">
        <v>457</v>
      </c>
      <c r="D256" s="5">
        <v>0</v>
      </c>
      <c r="E256" s="4" t="s">
        <v>137</v>
      </c>
      <c r="F256" s="9">
        <v>0</v>
      </c>
      <c r="G256" s="4"/>
      <c r="H256" s="6">
        <v>21.5</v>
      </c>
      <c r="I256" s="9">
        <v>0</v>
      </c>
    </row>
    <row r="257" spans="1:9" x14ac:dyDescent="0.25">
      <c r="A257" s="2" t="s">
        <v>39</v>
      </c>
      <c r="B257" s="2">
        <v>2025</v>
      </c>
      <c r="C257" s="3">
        <v>1375</v>
      </c>
      <c r="D257" s="3">
        <v>0</v>
      </c>
      <c r="E257" s="2" t="s">
        <v>137</v>
      </c>
      <c r="F257" s="8">
        <v>0</v>
      </c>
      <c r="G257" s="2"/>
      <c r="H257" s="6">
        <v>200.9</v>
      </c>
      <c r="I257" s="9">
        <v>0</v>
      </c>
    </row>
  </sheetData>
  <mergeCells count="1">
    <mergeCell ref="A1:I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62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25.7109375" customWidth="1"/>
    <col min="2" max="2" width="7.7109375" customWidth="1"/>
    <col min="3" max="3" width="15.7109375" customWidth="1"/>
    <col min="4" max="4" width="14.7109375" customWidth="1"/>
    <col min="5" max="7" width="17.7109375" customWidth="1"/>
    <col min="8" max="8" width="14.7109375" customWidth="1"/>
  </cols>
  <sheetData>
    <row r="1" spans="1:8" ht="20.100000000000001" customHeight="1" x14ac:dyDescent="0.25">
      <c r="A1" s="18" t="s">
        <v>258</v>
      </c>
      <c r="B1" s="18"/>
      <c r="C1" s="18"/>
      <c r="D1" s="18"/>
      <c r="E1" s="18"/>
      <c r="F1" s="18"/>
      <c r="G1" s="18"/>
      <c r="H1" s="18"/>
    </row>
    <row r="2" spans="1:8" ht="38.1" customHeight="1" x14ac:dyDescent="0.25">
      <c r="A2" s="1" t="s">
        <v>43</v>
      </c>
      <c r="B2" s="1" t="s">
        <v>0</v>
      </c>
      <c r="C2" s="1" t="s">
        <v>199</v>
      </c>
      <c r="D2" s="1" t="s">
        <v>202</v>
      </c>
      <c r="E2" s="1" t="s">
        <v>242</v>
      </c>
      <c r="F2" s="1" t="s">
        <v>243</v>
      </c>
      <c r="G2" s="1" t="s">
        <v>244</v>
      </c>
      <c r="H2" s="1" t="s">
        <v>208</v>
      </c>
    </row>
    <row r="3" spans="1:8" x14ac:dyDescent="0.25">
      <c r="A3" s="2" t="s">
        <v>45</v>
      </c>
      <c r="B3" s="2">
        <v>2023</v>
      </c>
      <c r="C3" s="3">
        <v>3165390050</v>
      </c>
      <c r="D3" s="3">
        <v>723280923</v>
      </c>
      <c r="E3" s="8">
        <v>22.8</v>
      </c>
      <c r="F3" s="2"/>
      <c r="G3" s="2"/>
      <c r="H3" s="2"/>
    </row>
    <row r="4" spans="1:8" x14ac:dyDescent="0.25">
      <c r="A4" s="4" t="s">
        <v>46</v>
      </c>
      <c r="B4" s="4">
        <v>2023</v>
      </c>
      <c r="C4" s="5">
        <v>502278358</v>
      </c>
      <c r="D4" s="5">
        <v>153202777</v>
      </c>
      <c r="E4" s="9">
        <v>30.5</v>
      </c>
      <c r="F4" s="4"/>
      <c r="G4" s="4"/>
      <c r="H4" s="4"/>
    </row>
    <row r="5" spans="1:8" x14ac:dyDescent="0.25">
      <c r="A5" s="2" t="s">
        <v>47</v>
      </c>
      <c r="B5" s="2">
        <v>2023</v>
      </c>
      <c r="C5" s="3">
        <v>605170386</v>
      </c>
      <c r="D5" s="3">
        <v>87028975</v>
      </c>
      <c r="E5" s="8">
        <v>14.4</v>
      </c>
      <c r="F5" s="2"/>
      <c r="G5" s="2"/>
      <c r="H5" s="2"/>
    </row>
    <row r="6" spans="1:8" x14ac:dyDescent="0.25">
      <c r="A6" s="4" t="s">
        <v>48</v>
      </c>
      <c r="B6" s="4">
        <v>2023</v>
      </c>
      <c r="C6" s="5">
        <v>4017340567</v>
      </c>
      <c r="D6" s="5">
        <v>69220751</v>
      </c>
      <c r="E6" s="9">
        <v>1.7</v>
      </c>
      <c r="F6" s="4"/>
      <c r="G6" s="4"/>
      <c r="H6" s="4"/>
    </row>
    <row r="7" spans="1:8" x14ac:dyDescent="0.25">
      <c r="A7" s="2" t="s">
        <v>49</v>
      </c>
      <c r="B7" s="2">
        <v>2023</v>
      </c>
      <c r="C7" s="3">
        <v>276512710</v>
      </c>
      <c r="D7" s="3">
        <v>64952176</v>
      </c>
      <c r="E7" s="8">
        <v>23.5</v>
      </c>
      <c r="F7" s="2"/>
      <c r="G7" s="2"/>
      <c r="H7" s="2"/>
    </row>
    <row r="8" spans="1:8" x14ac:dyDescent="0.25">
      <c r="A8" s="4" t="s">
        <v>50</v>
      </c>
      <c r="B8" s="4">
        <v>2023</v>
      </c>
      <c r="C8" s="5">
        <v>302319245</v>
      </c>
      <c r="D8" s="5">
        <v>46403510</v>
      </c>
      <c r="E8" s="9">
        <v>15.3</v>
      </c>
      <c r="F8" s="4"/>
      <c r="G8" s="4"/>
      <c r="H8" s="4"/>
    </row>
    <row r="9" spans="1:8" x14ac:dyDescent="0.25">
      <c r="A9" s="2" t="s">
        <v>51</v>
      </c>
      <c r="B9" s="2">
        <v>2023</v>
      </c>
      <c r="C9" s="3">
        <v>207076280</v>
      </c>
      <c r="D9" s="3">
        <v>44801970</v>
      </c>
      <c r="E9" s="8">
        <v>21.6</v>
      </c>
      <c r="F9" s="2"/>
      <c r="G9" s="2"/>
      <c r="H9" s="2"/>
    </row>
    <row r="10" spans="1:8" x14ac:dyDescent="0.25">
      <c r="A10" s="4" t="s">
        <v>52</v>
      </c>
      <c r="B10" s="4">
        <v>2023</v>
      </c>
      <c r="C10" s="5">
        <v>197943918</v>
      </c>
      <c r="D10" s="5">
        <v>41029832</v>
      </c>
      <c r="E10" s="9">
        <v>20.7</v>
      </c>
      <c r="F10" s="4"/>
      <c r="G10" s="4"/>
      <c r="H10" s="4"/>
    </row>
    <row r="11" spans="1:8" x14ac:dyDescent="0.25">
      <c r="A11" s="2" t="s">
        <v>53</v>
      </c>
      <c r="B11" s="2">
        <v>2023</v>
      </c>
      <c r="C11" s="3">
        <v>738247090</v>
      </c>
      <c r="D11" s="3">
        <v>39170824</v>
      </c>
      <c r="E11" s="8">
        <v>5.3</v>
      </c>
      <c r="F11" s="2"/>
      <c r="G11" s="2"/>
      <c r="H11" s="2"/>
    </row>
    <row r="12" spans="1:8" x14ac:dyDescent="0.25">
      <c r="A12" s="4" t="s">
        <v>54</v>
      </c>
      <c r="B12" s="4">
        <v>2023</v>
      </c>
      <c r="C12" s="5">
        <v>90844705</v>
      </c>
      <c r="D12" s="5">
        <v>33800606</v>
      </c>
      <c r="E12" s="9">
        <v>37.200000000000003</v>
      </c>
      <c r="F12" s="4"/>
      <c r="G12" s="4"/>
      <c r="H12" s="4"/>
    </row>
    <row r="13" spans="1:8" x14ac:dyDescent="0.25">
      <c r="A13" s="2" t="s">
        <v>55</v>
      </c>
      <c r="B13" s="2">
        <v>2023</v>
      </c>
      <c r="C13" s="3">
        <v>276774366</v>
      </c>
      <c r="D13" s="3">
        <v>33258296</v>
      </c>
      <c r="E13" s="8">
        <v>12</v>
      </c>
      <c r="F13" s="2"/>
      <c r="G13" s="2"/>
      <c r="H13" s="2"/>
    </row>
    <row r="14" spans="1:8" x14ac:dyDescent="0.25">
      <c r="A14" s="4" t="s">
        <v>56</v>
      </c>
      <c r="B14" s="4">
        <v>2023</v>
      </c>
      <c r="C14" s="5">
        <v>207244703</v>
      </c>
      <c r="D14" s="5">
        <v>27331768</v>
      </c>
      <c r="E14" s="9">
        <v>13.2</v>
      </c>
      <c r="F14" s="4"/>
      <c r="G14" s="4"/>
      <c r="H14" s="4"/>
    </row>
    <row r="15" spans="1:8" x14ac:dyDescent="0.25">
      <c r="A15" s="2" t="s">
        <v>80</v>
      </c>
      <c r="B15" s="2">
        <v>2023</v>
      </c>
      <c r="C15" s="3">
        <v>103849420</v>
      </c>
      <c r="D15" s="3">
        <v>25242356</v>
      </c>
      <c r="E15" s="8">
        <v>24.3</v>
      </c>
      <c r="F15" s="2"/>
      <c r="G15" s="2"/>
      <c r="H15" s="2"/>
    </row>
    <row r="16" spans="1:8" x14ac:dyDescent="0.25">
      <c r="A16" s="4" t="s">
        <v>81</v>
      </c>
      <c r="B16" s="4">
        <v>2023</v>
      </c>
      <c r="C16" s="5">
        <v>171511980</v>
      </c>
      <c r="D16" s="5">
        <v>24060270</v>
      </c>
      <c r="E16" s="9">
        <v>14</v>
      </c>
      <c r="F16" s="4"/>
      <c r="G16" s="4"/>
      <c r="H16" s="4"/>
    </row>
    <row r="17" spans="1:8" x14ac:dyDescent="0.25">
      <c r="A17" s="2" t="s">
        <v>57</v>
      </c>
      <c r="B17" s="2">
        <v>2023</v>
      </c>
      <c r="C17" s="3">
        <v>217914734</v>
      </c>
      <c r="D17" s="3">
        <v>22510814</v>
      </c>
      <c r="E17" s="8">
        <v>10.3</v>
      </c>
      <c r="F17" s="2"/>
      <c r="G17" s="2"/>
      <c r="H17" s="2"/>
    </row>
    <row r="18" spans="1:8" x14ac:dyDescent="0.25">
      <c r="A18" s="4" t="s">
        <v>58</v>
      </c>
      <c r="B18" s="4">
        <v>2023</v>
      </c>
      <c r="C18" s="5">
        <v>140822659</v>
      </c>
      <c r="D18" s="5">
        <v>22027506</v>
      </c>
      <c r="E18" s="9">
        <v>15.6</v>
      </c>
      <c r="F18" s="4"/>
      <c r="G18" s="4"/>
      <c r="H18" s="4"/>
    </row>
    <row r="19" spans="1:8" x14ac:dyDescent="0.25">
      <c r="A19" s="2" t="s">
        <v>142</v>
      </c>
      <c r="B19" s="2">
        <v>2023</v>
      </c>
      <c r="C19" s="3">
        <v>91240866</v>
      </c>
      <c r="D19" s="3">
        <v>19192280</v>
      </c>
      <c r="E19" s="8">
        <v>21</v>
      </c>
      <c r="F19" s="2"/>
      <c r="G19" s="2"/>
      <c r="H19" s="2"/>
    </row>
    <row r="20" spans="1:8" x14ac:dyDescent="0.25">
      <c r="A20" s="4" t="s">
        <v>144</v>
      </c>
      <c r="B20" s="4">
        <v>2023</v>
      </c>
      <c r="C20" s="5">
        <v>41275087</v>
      </c>
      <c r="D20" s="5">
        <v>18524452</v>
      </c>
      <c r="E20" s="9">
        <v>44.9</v>
      </c>
      <c r="F20" s="4"/>
      <c r="G20" s="4"/>
      <c r="H20" s="4"/>
    </row>
    <row r="21" spans="1:8" x14ac:dyDescent="0.25">
      <c r="A21" s="2" t="s">
        <v>59</v>
      </c>
      <c r="B21" s="2">
        <v>2023</v>
      </c>
      <c r="C21" s="3">
        <v>154796220</v>
      </c>
      <c r="D21" s="3">
        <v>15863672</v>
      </c>
      <c r="E21" s="8">
        <v>10.199999999999999</v>
      </c>
      <c r="F21" s="2"/>
      <c r="G21" s="2"/>
      <c r="H21" s="2"/>
    </row>
    <row r="22" spans="1:8" x14ac:dyDescent="0.25">
      <c r="A22" s="4" t="s">
        <v>84</v>
      </c>
      <c r="B22" s="4">
        <v>2023</v>
      </c>
      <c r="C22" s="5">
        <v>108183383</v>
      </c>
      <c r="D22" s="5">
        <v>10483074</v>
      </c>
      <c r="E22" s="9">
        <v>9.6999999999999993</v>
      </c>
      <c r="F22" s="4"/>
      <c r="G22" s="4"/>
      <c r="H22" s="4"/>
    </row>
    <row r="23" spans="1:8" x14ac:dyDescent="0.25">
      <c r="A23" s="2" t="s">
        <v>45</v>
      </c>
      <c r="B23" s="2">
        <v>2024</v>
      </c>
      <c r="C23" s="3">
        <v>3821033769</v>
      </c>
      <c r="D23" s="3">
        <v>795507656</v>
      </c>
      <c r="E23" s="8">
        <v>20.8</v>
      </c>
      <c r="F23" s="6">
        <v>10</v>
      </c>
      <c r="G23" s="6">
        <v>20.7</v>
      </c>
      <c r="H23" s="7">
        <v>-2</v>
      </c>
    </row>
    <row r="24" spans="1:8" x14ac:dyDescent="0.25">
      <c r="A24" s="4" t="s">
        <v>46</v>
      </c>
      <c r="B24" s="4">
        <v>2024</v>
      </c>
      <c r="C24" s="5">
        <v>570619502</v>
      </c>
      <c r="D24" s="5">
        <v>170959556</v>
      </c>
      <c r="E24" s="9">
        <v>30</v>
      </c>
      <c r="F24" s="6">
        <v>11.6</v>
      </c>
      <c r="G24" s="6">
        <v>13.6</v>
      </c>
      <c r="H24" s="7">
        <v>-0.5</v>
      </c>
    </row>
    <row r="25" spans="1:8" x14ac:dyDescent="0.25">
      <c r="A25" s="2" t="s">
        <v>48</v>
      </c>
      <c r="B25" s="2">
        <v>2024</v>
      </c>
      <c r="C25" s="3">
        <v>4868979573</v>
      </c>
      <c r="D25" s="3">
        <v>90551205</v>
      </c>
      <c r="E25" s="8">
        <v>1.9</v>
      </c>
      <c r="F25" s="6">
        <v>30.8</v>
      </c>
      <c r="G25" s="6">
        <v>21.2</v>
      </c>
      <c r="H25" s="6">
        <v>0.2</v>
      </c>
    </row>
    <row r="26" spans="1:8" x14ac:dyDescent="0.25">
      <c r="A26" s="4" t="s">
        <v>47</v>
      </c>
      <c r="B26" s="4">
        <v>2024</v>
      </c>
      <c r="C26" s="5">
        <v>483948397</v>
      </c>
      <c r="D26" s="5">
        <v>90166519</v>
      </c>
      <c r="E26" s="9">
        <v>18.600000000000001</v>
      </c>
      <c r="F26" s="6">
        <v>3.6</v>
      </c>
      <c r="G26" s="7">
        <v>-20</v>
      </c>
      <c r="H26" s="6">
        <v>4.2</v>
      </c>
    </row>
    <row r="27" spans="1:8" x14ac:dyDescent="0.25">
      <c r="A27" s="2" t="s">
        <v>49</v>
      </c>
      <c r="B27" s="2">
        <v>2024</v>
      </c>
      <c r="C27" s="3">
        <v>308848310</v>
      </c>
      <c r="D27" s="3">
        <v>70754482</v>
      </c>
      <c r="E27" s="8">
        <v>22.9</v>
      </c>
      <c r="F27" s="6">
        <v>8.9</v>
      </c>
      <c r="G27" s="6">
        <v>11.7</v>
      </c>
      <c r="H27" s="7">
        <v>-0.6</v>
      </c>
    </row>
    <row r="28" spans="1:8" x14ac:dyDescent="0.25">
      <c r="A28" s="4" t="s">
        <v>51</v>
      </c>
      <c r="B28" s="4">
        <v>2024</v>
      </c>
      <c r="C28" s="5">
        <v>210539245</v>
      </c>
      <c r="D28" s="5">
        <v>49456801</v>
      </c>
      <c r="E28" s="9">
        <v>23.5</v>
      </c>
      <c r="F28" s="6">
        <v>10.4</v>
      </c>
      <c r="G28" s="6">
        <v>1.7</v>
      </c>
      <c r="H28" s="6">
        <v>1.9</v>
      </c>
    </row>
    <row r="29" spans="1:8" x14ac:dyDescent="0.25">
      <c r="A29" s="2" t="s">
        <v>52</v>
      </c>
      <c r="B29" s="2">
        <v>2024</v>
      </c>
      <c r="C29" s="3">
        <v>219772960</v>
      </c>
      <c r="D29" s="3">
        <v>47079948</v>
      </c>
      <c r="E29" s="8">
        <v>21.4</v>
      </c>
      <c r="F29" s="6">
        <v>14.7</v>
      </c>
      <c r="G29" s="6">
        <v>11</v>
      </c>
      <c r="H29" s="6">
        <v>0.7</v>
      </c>
    </row>
    <row r="30" spans="1:8" x14ac:dyDescent="0.25">
      <c r="A30" s="4" t="s">
        <v>53</v>
      </c>
      <c r="B30" s="4">
        <v>2024</v>
      </c>
      <c r="C30" s="5">
        <v>1094750944</v>
      </c>
      <c r="D30" s="5">
        <v>42152987</v>
      </c>
      <c r="E30" s="9">
        <v>3.9</v>
      </c>
      <c r="F30" s="6">
        <v>7.6</v>
      </c>
      <c r="G30" s="6">
        <v>48.3</v>
      </c>
      <c r="H30" s="7">
        <v>-1.4</v>
      </c>
    </row>
    <row r="31" spans="1:8" x14ac:dyDescent="0.25">
      <c r="A31" s="2" t="s">
        <v>58</v>
      </c>
      <c r="B31" s="2">
        <v>2024</v>
      </c>
      <c r="C31" s="3">
        <v>165619236</v>
      </c>
      <c r="D31" s="3">
        <v>34284139</v>
      </c>
      <c r="E31" s="8">
        <v>20.7</v>
      </c>
      <c r="F31" s="6">
        <v>55.6</v>
      </c>
      <c r="G31" s="6">
        <v>17.600000000000001</v>
      </c>
      <c r="H31" s="6">
        <v>5.0999999999999996</v>
      </c>
    </row>
    <row r="32" spans="1:8" x14ac:dyDescent="0.25">
      <c r="A32" s="4" t="s">
        <v>54</v>
      </c>
      <c r="B32" s="4">
        <v>2024</v>
      </c>
      <c r="C32" s="5">
        <v>93423319</v>
      </c>
      <c r="D32" s="5">
        <v>34143342</v>
      </c>
      <c r="E32" s="9">
        <v>36.5</v>
      </c>
      <c r="F32" s="6">
        <v>1</v>
      </c>
      <c r="G32" s="6">
        <v>2.8</v>
      </c>
      <c r="H32" s="7">
        <v>-0.7</v>
      </c>
    </row>
    <row r="33" spans="1:8" x14ac:dyDescent="0.25">
      <c r="A33" s="2" t="s">
        <v>55</v>
      </c>
      <c r="B33" s="2">
        <v>2024</v>
      </c>
      <c r="C33" s="3">
        <v>344713995</v>
      </c>
      <c r="D33" s="3">
        <v>33391245</v>
      </c>
      <c r="E33" s="8">
        <v>9.6999999999999993</v>
      </c>
      <c r="F33" s="6">
        <v>0.4</v>
      </c>
      <c r="G33" s="6">
        <v>24.5</v>
      </c>
      <c r="H33" s="7">
        <v>-2.2999999999999998</v>
      </c>
    </row>
    <row r="34" spans="1:8" x14ac:dyDescent="0.25">
      <c r="A34" s="4" t="s">
        <v>50</v>
      </c>
      <c r="B34" s="4">
        <v>2024</v>
      </c>
      <c r="C34" s="5">
        <v>258687969</v>
      </c>
      <c r="D34" s="5">
        <v>30057565</v>
      </c>
      <c r="E34" s="9">
        <v>11.6</v>
      </c>
      <c r="F34" s="7">
        <v>-35.200000000000003</v>
      </c>
      <c r="G34" s="7">
        <v>-14.4</v>
      </c>
      <c r="H34" s="7">
        <v>-3.7</v>
      </c>
    </row>
    <row r="35" spans="1:8" x14ac:dyDescent="0.25">
      <c r="A35" s="2" t="s">
        <v>56</v>
      </c>
      <c r="B35" s="2">
        <v>2024</v>
      </c>
      <c r="C35" s="3">
        <v>273358397</v>
      </c>
      <c r="D35" s="3">
        <v>28847085</v>
      </c>
      <c r="E35" s="8">
        <v>10.6</v>
      </c>
      <c r="F35" s="6">
        <v>5.5</v>
      </c>
      <c r="G35" s="6">
        <v>31.9</v>
      </c>
      <c r="H35" s="7">
        <v>-2.6</v>
      </c>
    </row>
    <row r="36" spans="1:8" x14ac:dyDescent="0.25">
      <c r="A36" s="4" t="s">
        <v>142</v>
      </c>
      <c r="B36" s="4">
        <v>2024</v>
      </c>
      <c r="C36" s="5">
        <v>122543808</v>
      </c>
      <c r="D36" s="5">
        <v>28347247</v>
      </c>
      <c r="E36" s="9">
        <v>23.1</v>
      </c>
      <c r="F36" s="6">
        <v>47.7</v>
      </c>
      <c r="G36" s="6">
        <v>34.299999999999997</v>
      </c>
      <c r="H36" s="6">
        <v>2.1</v>
      </c>
    </row>
    <row r="37" spans="1:8" x14ac:dyDescent="0.25">
      <c r="A37" s="2" t="s">
        <v>144</v>
      </c>
      <c r="B37" s="2">
        <v>2024</v>
      </c>
      <c r="C37" s="3">
        <v>45516558</v>
      </c>
      <c r="D37" s="3">
        <v>22277146</v>
      </c>
      <c r="E37" s="8">
        <v>48.9</v>
      </c>
      <c r="F37" s="6">
        <v>20.3</v>
      </c>
      <c r="G37" s="6">
        <v>10.3</v>
      </c>
      <c r="H37" s="6">
        <v>4</v>
      </c>
    </row>
    <row r="38" spans="1:8" x14ac:dyDescent="0.25">
      <c r="A38" s="4" t="s">
        <v>57</v>
      </c>
      <c r="B38" s="4">
        <v>2024</v>
      </c>
      <c r="C38" s="5">
        <v>274097344</v>
      </c>
      <c r="D38" s="5">
        <v>21164236</v>
      </c>
      <c r="E38" s="9">
        <v>7.7</v>
      </c>
      <c r="F38" s="7">
        <v>-6</v>
      </c>
      <c r="G38" s="6">
        <v>25.8</v>
      </c>
      <c r="H38" s="7">
        <v>-2.6</v>
      </c>
    </row>
    <row r="39" spans="1:8" x14ac:dyDescent="0.25">
      <c r="A39" s="2" t="s">
        <v>84</v>
      </c>
      <c r="B39" s="2">
        <v>2024</v>
      </c>
      <c r="C39" s="3">
        <v>150106462</v>
      </c>
      <c r="D39" s="3">
        <v>20209994</v>
      </c>
      <c r="E39" s="8">
        <v>13.5</v>
      </c>
      <c r="F39" s="6">
        <v>92.8</v>
      </c>
      <c r="G39" s="6">
        <v>38.799999999999997</v>
      </c>
      <c r="H39" s="6">
        <v>3.8</v>
      </c>
    </row>
    <row r="40" spans="1:8" x14ac:dyDescent="0.25">
      <c r="A40" s="4" t="s">
        <v>81</v>
      </c>
      <c r="B40" s="4">
        <v>2024</v>
      </c>
      <c r="C40" s="5">
        <v>138870116</v>
      </c>
      <c r="D40" s="5">
        <v>17538817</v>
      </c>
      <c r="E40" s="9">
        <v>12.6</v>
      </c>
      <c r="F40" s="7">
        <v>-27.1</v>
      </c>
      <c r="G40" s="7">
        <v>-19</v>
      </c>
      <c r="H40" s="7">
        <v>-1.4</v>
      </c>
    </row>
    <row r="41" spans="1:8" x14ac:dyDescent="0.25">
      <c r="A41" s="2" t="s">
        <v>59</v>
      </c>
      <c r="B41" s="2">
        <v>2024</v>
      </c>
      <c r="C41" s="3">
        <v>239446765</v>
      </c>
      <c r="D41" s="3">
        <v>17274955</v>
      </c>
      <c r="E41" s="8">
        <v>7.2</v>
      </c>
      <c r="F41" s="6">
        <v>8.9</v>
      </c>
      <c r="G41" s="6">
        <v>54.7</v>
      </c>
      <c r="H41" s="7">
        <v>-3</v>
      </c>
    </row>
    <row r="42" spans="1:8" x14ac:dyDescent="0.25">
      <c r="A42" s="4" t="s">
        <v>80</v>
      </c>
      <c r="B42" s="4">
        <v>2024</v>
      </c>
      <c r="C42" s="5">
        <v>122953172</v>
      </c>
      <c r="D42" s="5">
        <v>12255926</v>
      </c>
      <c r="E42" s="9">
        <v>10</v>
      </c>
      <c r="F42" s="7">
        <v>-51.4</v>
      </c>
      <c r="G42" s="6">
        <v>18.399999999999999</v>
      </c>
      <c r="H42" s="7">
        <v>-14.3</v>
      </c>
    </row>
    <row r="43" spans="1:8" x14ac:dyDescent="0.25">
      <c r="A43" s="2" t="s">
        <v>45</v>
      </c>
      <c r="B43" s="2">
        <v>2025</v>
      </c>
      <c r="C43" s="3">
        <v>3056879729</v>
      </c>
      <c r="D43" s="3">
        <v>620674476</v>
      </c>
      <c r="E43" s="8">
        <v>20.3</v>
      </c>
      <c r="F43" s="7">
        <v>-22</v>
      </c>
      <c r="G43" s="7">
        <v>-20</v>
      </c>
      <c r="H43" s="7">
        <v>-0.5</v>
      </c>
    </row>
    <row r="44" spans="1:8" x14ac:dyDescent="0.25">
      <c r="A44" s="4" t="s">
        <v>46</v>
      </c>
      <c r="B44" s="4">
        <v>2025</v>
      </c>
      <c r="C44" s="5">
        <v>468274624</v>
      </c>
      <c r="D44" s="5">
        <v>121592734</v>
      </c>
      <c r="E44" s="9">
        <v>26</v>
      </c>
      <c r="F44" s="7">
        <v>-28.9</v>
      </c>
      <c r="G44" s="7">
        <v>-17.899999999999999</v>
      </c>
      <c r="H44" s="7">
        <v>-4</v>
      </c>
    </row>
    <row r="45" spans="1:8" x14ac:dyDescent="0.25">
      <c r="A45" s="2" t="s">
        <v>47</v>
      </c>
      <c r="B45" s="2">
        <v>2025</v>
      </c>
      <c r="C45" s="3">
        <v>584773948</v>
      </c>
      <c r="D45" s="3">
        <v>112984340</v>
      </c>
      <c r="E45" s="8">
        <v>19.3</v>
      </c>
      <c r="F45" s="6">
        <v>25.3</v>
      </c>
      <c r="G45" s="6">
        <v>20.8</v>
      </c>
      <c r="H45" s="6">
        <v>0.7</v>
      </c>
    </row>
    <row r="46" spans="1:8" x14ac:dyDescent="0.25">
      <c r="A46" s="4" t="s">
        <v>48</v>
      </c>
      <c r="B46" s="4">
        <v>2025</v>
      </c>
      <c r="C46" s="5">
        <v>5100800555</v>
      </c>
      <c r="D46" s="5">
        <v>74596402</v>
      </c>
      <c r="E46" s="9">
        <v>1.5</v>
      </c>
      <c r="F46" s="7">
        <v>-17.600000000000001</v>
      </c>
      <c r="G46" s="6">
        <v>4.8</v>
      </c>
      <c r="H46" s="7">
        <v>-0.4</v>
      </c>
    </row>
    <row r="47" spans="1:8" x14ac:dyDescent="0.25">
      <c r="A47" s="2" t="s">
        <v>49</v>
      </c>
      <c r="B47" s="2">
        <v>2025</v>
      </c>
      <c r="C47" s="3">
        <v>278459111</v>
      </c>
      <c r="D47" s="3">
        <v>58626278</v>
      </c>
      <c r="E47" s="8">
        <v>21.1</v>
      </c>
      <c r="F47" s="7">
        <v>-17.100000000000001</v>
      </c>
      <c r="G47" s="7">
        <v>-9.8000000000000007</v>
      </c>
      <c r="H47" s="7">
        <v>-1.8</v>
      </c>
    </row>
    <row r="48" spans="1:8" x14ac:dyDescent="0.25">
      <c r="A48" s="4" t="s">
        <v>53</v>
      </c>
      <c r="B48" s="4">
        <v>2025</v>
      </c>
      <c r="C48" s="5">
        <v>993966745</v>
      </c>
      <c r="D48" s="5">
        <v>51785123</v>
      </c>
      <c r="E48" s="9">
        <v>5.2</v>
      </c>
      <c r="F48" s="6">
        <v>22.9</v>
      </c>
      <c r="G48" s="7">
        <v>-9.1999999999999993</v>
      </c>
      <c r="H48" s="6">
        <v>1.3</v>
      </c>
    </row>
    <row r="49" spans="1:8" x14ac:dyDescent="0.25">
      <c r="A49" s="2" t="s">
        <v>52</v>
      </c>
      <c r="B49" s="2">
        <v>2025</v>
      </c>
      <c r="C49" s="3">
        <v>238300549</v>
      </c>
      <c r="D49" s="3">
        <v>51321376</v>
      </c>
      <c r="E49" s="8">
        <v>21.5</v>
      </c>
      <c r="F49" s="6">
        <v>9</v>
      </c>
      <c r="G49" s="6">
        <v>8.4</v>
      </c>
      <c r="H49" s="6">
        <v>0.1</v>
      </c>
    </row>
    <row r="50" spans="1:8" x14ac:dyDescent="0.25">
      <c r="A50" s="4" t="s">
        <v>51</v>
      </c>
      <c r="B50" s="4">
        <v>2025</v>
      </c>
      <c r="C50" s="5">
        <v>219558851</v>
      </c>
      <c r="D50" s="5">
        <v>50995340</v>
      </c>
      <c r="E50" s="9">
        <v>23.2</v>
      </c>
      <c r="F50" s="6">
        <v>3.1</v>
      </c>
      <c r="G50" s="6">
        <v>4.3</v>
      </c>
      <c r="H50" s="7">
        <v>-0.3</v>
      </c>
    </row>
    <row r="51" spans="1:8" x14ac:dyDescent="0.25">
      <c r="A51" s="2" t="s">
        <v>58</v>
      </c>
      <c r="B51" s="2">
        <v>2025</v>
      </c>
      <c r="C51" s="3">
        <v>135827420</v>
      </c>
      <c r="D51" s="3">
        <v>43843449</v>
      </c>
      <c r="E51" s="8">
        <v>32.299999999999997</v>
      </c>
      <c r="F51" s="6">
        <v>27.9</v>
      </c>
      <c r="G51" s="7">
        <v>-18</v>
      </c>
      <c r="H51" s="6">
        <v>11.6</v>
      </c>
    </row>
    <row r="52" spans="1:8" x14ac:dyDescent="0.25">
      <c r="A52" s="4" t="s">
        <v>54</v>
      </c>
      <c r="B52" s="4">
        <v>2025</v>
      </c>
      <c r="C52" s="5">
        <v>145018059</v>
      </c>
      <c r="D52" s="5">
        <v>42576504</v>
      </c>
      <c r="E52" s="9">
        <v>29.4</v>
      </c>
      <c r="F52" s="6">
        <v>24.7</v>
      </c>
      <c r="G52" s="6">
        <v>55.2</v>
      </c>
      <c r="H52" s="7">
        <v>-7.1</v>
      </c>
    </row>
    <row r="53" spans="1:8" x14ac:dyDescent="0.25">
      <c r="A53" s="2" t="s">
        <v>50</v>
      </c>
      <c r="B53" s="2">
        <v>2025</v>
      </c>
      <c r="C53" s="3">
        <v>274612438</v>
      </c>
      <c r="D53" s="3">
        <v>40938832</v>
      </c>
      <c r="E53" s="8">
        <v>14.9</v>
      </c>
      <c r="F53" s="6">
        <v>36.200000000000003</v>
      </c>
      <c r="G53" s="6">
        <v>6.2</v>
      </c>
      <c r="H53" s="6">
        <v>3.3</v>
      </c>
    </row>
    <row r="54" spans="1:8" x14ac:dyDescent="0.25">
      <c r="A54" s="4" t="s">
        <v>57</v>
      </c>
      <c r="B54" s="4">
        <v>2025</v>
      </c>
      <c r="C54" s="5">
        <v>226980704</v>
      </c>
      <c r="D54" s="5">
        <v>37800095</v>
      </c>
      <c r="E54" s="9">
        <v>16.7</v>
      </c>
      <c r="F54" s="6">
        <v>78.599999999999994</v>
      </c>
      <c r="G54" s="7">
        <v>-17.2</v>
      </c>
      <c r="H54" s="6">
        <v>9</v>
      </c>
    </row>
    <row r="55" spans="1:8" x14ac:dyDescent="0.25">
      <c r="A55" s="2" t="s">
        <v>59</v>
      </c>
      <c r="B55" s="2">
        <v>2025</v>
      </c>
      <c r="C55" s="3">
        <v>251702129</v>
      </c>
      <c r="D55" s="3">
        <v>33583344</v>
      </c>
      <c r="E55" s="8">
        <v>13.3</v>
      </c>
      <c r="F55" s="6">
        <v>94.4</v>
      </c>
      <c r="G55" s="6">
        <v>5.0999999999999996</v>
      </c>
      <c r="H55" s="6">
        <v>6.1</v>
      </c>
    </row>
    <row r="56" spans="1:8" x14ac:dyDescent="0.25">
      <c r="A56" s="4" t="s">
        <v>56</v>
      </c>
      <c r="B56" s="4">
        <v>2025</v>
      </c>
      <c r="C56" s="5">
        <v>305808712</v>
      </c>
      <c r="D56" s="5">
        <v>31471327</v>
      </c>
      <c r="E56" s="9">
        <v>10.3</v>
      </c>
      <c r="F56" s="6">
        <v>9.1</v>
      </c>
      <c r="G56" s="6">
        <v>11.9</v>
      </c>
      <c r="H56" s="7">
        <v>-0.3</v>
      </c>
    </row>
    <row r="57" spans="1:8" x14ac:dyDescent="0.25">
      <c r="A57" s="2" t="s">
        <v>55</v>
      </c>
      <c r="B57" s="2">
        <v>2025</v>
      </c>
      <c r="C57" s="3">
        <v>295584418</v>
      </c>
      <c r="D57" s="3">
        <v>30081892</v>
      </c>
      <c r="E57" s="8">
        <v>10.199999999999999</v>
      </c>
      <c r="F57" s="7">
        <v>-9.9</v>
      </c>
      <c r="G57" s="7">
        <v>-14.3</v>
      </c>
      <c r="H57" s="6">
        <v>0.5</v>
      </c>
    </row>
    <row r="58" spans="1:8" x14ac:dyDescent="0.25">
      <c r="A58" s="4" t="s">
        <v>84</v>
      </c>
      <c r="B58" s="4">
        <v>2025</v>
      </c>
      <c r="C58" s="5">
        <v>218659321</v>
      </c>
      <c r="D58" s="5">
        <v>27621903</v>
      </c>
      <c r="E58" s="9">
        <v>12.6</v>
      </c>
      <c r="F58" s="6">
        <v>36.700000000000003</v>
      </c>
      <c r="G58" s="6">
        <v>45.7</v>
      </c>
      <c r="H58" s="7">
        <v>-0.9</v>
      </c>
    </row>
    <row r="59" spans="1:8" x14ac:dyDescent="0.25">
      <c r="A59" s="2" t="s">
        <v>80</v>
      </c>
      <c r="B59" s="2">
        <v>2025</v>
      </c>
      <c r="C59" s="3">
        <v>139082255</v>
      </c>
      <c r="D59" s="3">
        <v>26067487</v>
      </c>
      <c r="E59" s="8">
        <v>18.7</v>
      </c>
      <c r="F59" s="6">
        <v>112.7</v>
      </c>
      <c r="G59" s="6">
        <v>13.1</v>
      </c>
      <c r="H59" s="6">
        <v>8.6999999999999993</v>
      </c>
    </row>
    <row r="60" spans="1:8" x14ac:dyDescent="0.25">
      <c r="A60" s="4" t="s">
        <v>144</v>
      </c>
      <c r="B60" s="4">
        <v>2025</v>
      </c>
      <c r="C60" s="5">
        <v>47543729</v>
      </c>
      <c r="D60" s="5">
        <v>25308968</v>
      </c>
      <c r="E60" s="9">
        <v>53.2</v>
      </c>
      <c r="F60" s="6">
        <v>13.6</v>
      </c>
      <c r="G60" s="6">
        <v>4.5</v>
      </c>
      <c r="H60" s="6">
        <v>4.3</v>
      </c>
    </row>
    <row r="61" spans="1:8" x14ac:dyDescent="0.25">
      <c r="A61" s="2" t="s">
        <v>142</v>
      </c>
      <c r="B61" s="2">
        <v>2025</v>
      </c>
      <c r="C61" s="3">
        <v>119389574</v>
      </c>
      <c r="D61" s="3">
        <v>25034088</v>
      </c>
      <c r="E61" s="8">
        <v>21</v>
      </c>
      <c r="F61" s="7">
        <v>-11.7</v>
      </c>
      <c r="G61" s="7">
        <v>-2.6</v>
      </c>
      <c r="H61" s="7">
        <v>-2.1</v>
      </c>
    </row>
    <row r="62" spans="1:8" x14ac:dyDescent="0.25">
      <c r="A62" s="4" t="s">
        <v>81</v>
      </c>
      <c r="B62" s="4">
        <v>2025</v>
      </c>
      <c r="C62" s="5">
        <v>138974168</v>
      </c>
      <c r="D62" s="5">
        <v>20858566</v>
      </c>
      <c r="E62" s="9">
        <v>15</v>
      </c>
      <c r="F62" s="6">
        <v>18.899999999999999</v>
      </c>
      <c r="G62" s="6">
        <v>0.1</v>
      </c>
      <c r="H62" s="6">
        <v>2.4</v>
      </c>
    </row>
  </sheetData>
  <mergeCells count="1">
    <mergeCell ref="A1:H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2:C27"/>
  <sheetViews>
    <sheetView workbookViewId="0"/>
  </sheetViews>
  <sheetFormatPr defaultRowHeight="15" x14ac:dyDescent="0.25"/>
  <cols>
    <col min="1" max="1" width="4.7109375" customWidth="1"/>
    <col min="2" max="2" width="38.7109375" customWidth="1"/>
    <col min="3" max="3" width="62.7109375" customWidth="1"/>
  </cols>
  <sheetData>
    <row r="2" spans="2:3" ht="21.95" customHeight="1" x14ac:dyDescent="0.35">
      <c r="B2" s="19" t="s">
        <v>259</v>
      </c>
      <c r="C2" s="19"/>
    </row>
    <row r="3" spans="2:3" x14ac:dyDescent="0.25">
      <c r="B3" s="20" t="s">
        <v>260</v>
      </c>
      <c r="C3" s="20"/>
    </row>
    <row r="4" spans="2:3" x14ac:dyDescent="0.25">
      <c r="B4" s="20" t="s">
        <v>261</v>
      </c>
      <c r="C4" s="20"/>
    </row>
    <row r="6" spans="2:3" x14ac:dyDescent="0.25">
      <c r="B6" s="14" t="s">
        <v>262</v>
      </c>
      <c r="C6" s="14" t="s">
        <v>263</v>
      </c>
    </row>
    <row r="7" spans="2:3" x14ac:dyDescent="0.25">
      <c r="B7" s="15" t="s">
        <v>264</v>
      </c>
      <c r="C7" s="16" t="s">
        <v>10</v>
      </c>
    </row>
    <row r="8" spans="2:3" x14ac:dyDescent="0.25">
      <c r="B8" s="15" t="s">
        <v>265</v>
      </c>
      <c r="C8" s="17" t="s">
        <v>16</v>
      </c>
    </row>
    <row r="9" spans="2:3" x14ac:dyDescent="0.25">
      <c r="B9" s="15" t="s">
        <v>266</v>
      </c>
      <c r="C9" s="16" t="s">
        <v>42</v>
      </c>
    </row>
    <row r="10" spans="2:3" x14ac:dyDescent="0.25">
      <c r="B10" s="15" t="s">
        <v>267</v>
      </c>
      <c r="C10" s="17" t="s">
        <v>60</v>
      </c>
    </row>
    <row r="11" spans="2:3" x14ac:dyDescent="0.25">
      <c r="B11" s="15" t="s">
        <v>268</v>
      </c>
      <c r="C11" s="16" t="s">
        <v>67</v>
      </c>
    </row>
    <row r="12" spans="2:3" x14ac:dyDescent="0.25">
      <c r="B12" s="15" t="s">
        <v>269</v>
      </c>
      <c r="C12" s="17" t="s">
        <v>78</v>
      </c>
    </row>
    <row r="13" spans="2:3" x14ac:dyDescent="0.25">
      <c r="B13" s="15" t="s">
        <v>270</v>
      </c>
      <c r="C13" s="16" t="s">
        <v>87</v>
      </c>
    </row>
    <row r="14" spans="2:3" x14ac:dyDescent="0.25">
      <c r="B14" s="15" t="s">
        <v>271</v>
      </c>
      <c r="C14" s="17" t="s">
        <v>94</v>
      </c>
    </row>
    <row r="15" spans="2:3" x14ac:dyDescent="0.25">
      <c r="B15" s="15" t="s">
        <v>272</v>
      </c>
      <c r="C15" s="16" t="s">
        <v>100</v>
      </c>
    </row>
    <row r="16" spans="2:3" x14ac:dyDescent="0.25">
      <c r="B16" s="15" t="s">
        <v>273</v>
      </c>
      <c r="C16" s="17" t="s">
        <v>110</v>
      </c>
    </row>
    <row r="17" spans="2:3" x14ac:dyDescent="0.25">
      <c r="B17" s="15" t="s">
        <v>274</v>
      </c>
      <c r="C17" s="16" t="s">
        <v>121</v>
      </c>
    </row>
    <row r="18" spans="2:3" x14ac:dyDescent="0.25">
      <c r="B18" s="15" t="s">
        <v>275</v>
      </c>
      <c r="C18" s="17" t="s">
        <v>138</v>
      </c>
    </row>
    <row r="19" spans="2:3" x14ac:dyDescent="0.25">
      <c r="B19" s="15" t="s">
        <v>276</v>
      </c>
      <c r="C19" s="16" t="s">
        <v>151</v>
      </c>
    </row>
    <row r="20" spans="2:3" x14ac:dyDescent="0.25">
      <c r="B20" s="15" t="s">
        <v>277</v>
      </c>
      <c r="C20" s="17" t="s">
        <v>154</v>
      </c>
    </row>
    <row r="21" spans="2:3" x14ac:dyDescent="0.25">
      <c r="B21" s="15" t="s">
        <v>278</v>
      </c>
      <c r="C21" s="16" t="s">
        <v>171</v>
      </c>
    </row>
    <row r="22" spans="2:3" x14ac:dyDescent="0.25">
      <c r="B22" s="15" t="s">
        <v>279</v>
      </c>
      <c r="C22" s="17" t="s">
        <v>198</v>
      </c>
    </row>
    <row r="23" spans="2:3" x14ac:dyDescent="0.25">
      <c r="B23" s="15" t="s">
        <v>280</v>
      </c>
      <c r="C23" s="16" t="s">
        <v>209</v>
      </c>
    </row>
    <row r="24" spans="2:3" x14ac:dyDescent="0.25">
      <c r="B24" s="15" t="s">
        <v>281</v>
      </c>
      <c r="C24" s="17" t="s">
        <v>218</v>
      </c>
    </row>
    <row r="25" spans="2:3" x14ac:dyDescent="0.25">
      <c r="B25" s="15" t="s">
        <v>282</v>
      </c>
      <c r="C25" s="16" t="s">
        <v>241</v>
      </c>
    </row>
    <row r="26" spans="2:3" x14ac:dyDescent="0.25">
      <c r="B26" s="15" t="s">
        <v>283</v>
      </c>
      <c r="C26" s="17" t="s">
        <v>257</v>
      </c>
    </row>
    <row r="27" spans="2:3" x14ac:dyDescent="0.25">
      <c r="B27" s="15" t="s">
        <v>284</v>
      </c>
      <c r="C27" s="16" t="s">
        <v>258</v>
      </c>
    </row>
  </sheetData>
  <mergeCells count="3">
    <mergeCell ref="B2:C2"/>
    <mergeCell ref="B3:C3"/>
    <mergeCell ref="B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22</vt:i4>
      </vt:variant>
    </vt:vector>
  </HeadingPairs>
  <TitlesOfParts>
    <vt:vector size="22" baseType="lpstr">
      <vt:lpstr>1_Serie_Hist</vt:lpstr>
      <vt:lpstr>2_Saldo</vt:lpstr>
      <vt:lpstr>3_Top_Produtos</vt:lpstr>
      <vt:lpstr>4_Top_Destinos</vt:lpstr>
      <vt:lpstr>5_Participacao</vt:lpstr>
      <vt:lpstr>6_YoY_Produtos</vt:lpstr>
      <vt:lpstr>7_Dest_Categoria</vt:lpstr>
      <vt:lpstr>8_Conc_EUA</vt:lpstr>
      <vt:lpstr>9_Mensal_EUA</vt:lpstr>
      <vt:lpstr>10_Queda_EUA</vt:lpstr>
      <vt:lpstr>11_Desvio</vt:lpstr>
      <vt:lpstr>12_Gini_Resumo</vt:lpstr>
      <vt:lpstr>13_Gini_Top10</vt:lpstr>
      <vt:lpstr>14_Gini_Lorenz</vt:lpstr>
      <vt:lpstr>15_Cresc_Atividade</vt:lpstr>
      <vt:lpstr>16_SC_BR_Resumo</vt:lpstr>
      <vt:lpstr>17_SC_BR_Serie</vt:lpstr>
      <vt:lpstr>18_SC_BR_Pivot</vt:lpstr>
      <vt:lpstr>19_SC_BR_Rank</vt:lpstr>
      <vt:lpstr>20_SC_BR_Produto</vt:lpstr>
      <vt:lpstr>21_SC_BR_Destinos</vt:lpstr>
      <vt:lpstr>0_Indice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BRUNO HAEMING</cp:lastModifiedBy>
  <dcterms:created xsi:type="dcterms:W3CDTF">2026-06-18T17:20:06Z</dcterms:created>
  <dcterms:modified xsi:type="dcterms:W3CDTF">2026-06-18T22:42:01Z</dcterms:modified>
</cp:coreProperties>
</file>